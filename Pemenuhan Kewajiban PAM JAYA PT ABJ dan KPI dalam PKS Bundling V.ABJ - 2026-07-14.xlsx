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featurePropertyBag/featurePropertyBag.xml" ContentType="application/vnd.ms-excel.featurepropertybag+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https://d.docs.live.net/d34d9276dd6c8472/Compliance/Hak ^0 Kewajiban/"/>
    </mc:Choice>
  </mc:AlternateContent>
  <xr:revisionPtr revIDLastSave="7" documentId="8_{E27E7BD4-C02B-429B-A7DB-9858AA36AE4E}" xr6:coauthVersionLast="47" xr6:coauthVersionMax="47" xr10:uidLastSave="{0836889C-5B34-4EBF-AD63-D0683ACD91CA}"/>
  <bookViews>
    <workbookView xWindow="-108" yWindow="-108" windowWidth="23256" windowHeight="12456" activeTab="1" xr2:uid="{00000000-000D-0000-FFFF-FFFF00000000}"/>
  </bookViews>
  <sheets>
    <sheet name="INDUK PT ABJ " sheetId="4" r:id="rId1"/>
    <sheet name="Greenfield PT ABJ" sheetId="5" r:id="rId2"/>
    <sheet name="Brownfield PT ABJ" sheetId="6" r:id="rId3"/>
    <sheet name="Summary" sheetId="7"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H54" i="4" l="1"/>
  <c r="C2" i="7" s="1"/>
  <c r="H50" i="4"/>
  <c r="H84" i="6"/>
  <c r="C4" i="7" s="1"/>
  <c r="I42" i="5"/>
  <c r="I41" i="5"/>
  <c r="I39" i="5"/>
  <c r="F81" i="6"/>
  <c r="F80" i="6"/>
  <c r="H83" i="6"/>
  <c r="H82" i="6"/>
  <c r="H81" i="6"/>
  <c r="H80" i="6"/>
  <c r="G108" i="5"/>
  <c r="G107" i="5"/>
  <c r="I110" i="5"/>
  <c r="I109" i="5"/>
  <c r="I108" i="5"/>
  <c r="I107" i="5"/>
  <c r="F51" i="4"/>
  <c r="F50" i="4"/>
  <c r="H52" i="4"/>
  <c r="H53" i="4"/>
  <c r="H51" i="4"/>
  <c r="A4" i="5"/>
  <c r="A6" i="5" s="1"/>
  <c r="A7" i="5" s="1"/>
  <c r="A8" i="5" s="1"/>
  <c r="A9" i="5" s="1"/>
  <c r="A10" i="5" s="1"/>
  <c r="A11" i="5" s="1"/>
  <c r="A12" i="5" s="1"/>
  <c r="A13" i="5" s="1"/>
  <c r="A14" i="5" s="1"/>
  <c r="A15" i="5" s="1"/>
  <c r="A16" i="5" s="1"/>
  <c r="A18" i="5" s="1"/>
  <c r="A20" i="5" s="1"/>
  <c r="A21" i="5" s="1"/>
  <c r="A22" i="5" s="1"/>
  <c r="A23" i="5" s="1"/>
  <c r="A25" i="5" s="1"/>
  <c r="A26" i="5" s="1"/>
  <c r="A28" i="5" s="1"/>
  <c r="A29" i="5" s="1"/>
  <c r="A30" i="5" s="1"/>
  <c r="A31" i="5" s="1"/>
  <c r="A32" i="5" s="1"/>
  <c r="A33" i="5" s="1"/>
  <c r="A34" i="5" s="1"/>
  <c r="A35" i="5" s="1"/>
  <c r="A36" i="5" s="1"/>
  <c r="A38" i="5" s="1"/>
  <c r="A39" i="5" s="1"/>
  <c r="A40" i="5" s="1"/>
  <c r="A41" i="5" s="1"/>
  <c r="A42" i="5" s="1"/>
  <c r="A43" i="5" s="1"/>
  <c r="A44" i="5" s="1"/>
  <c r="A45" i="5" s="1"/>
  <c r="A46" i="5" s="1"/>
  <c r="A47" i="5" s="1"/>
  <c r="A48" i="5" s="1"/>
  <c r="A49" i="5" s="1"/>
  <c r="A50" i="5" s="1"/>
  <c r="A51" i="5" s="1"/>
  <c r="A53" i="5" s="1"/>
  <c r="A54" i="5" s="1"/>
  <c r="A55" i="5" s="1"/>
  <c r="A56" i="5" s="1"/>
  <c r="A57" i="5" s="1"/>
  <c r="A58" i="5" s="1"/>
  <c r="A59" i="5" s="1"/>
  <c r="A60" i="5" s="1"/>
  <c r="A61" i="5" s="1"/>
  <c r="A62" i="5" s="1"/>
  <c r="A63" i="5" s="1"/>
  <c r="A64" i="5" s="1"/>
  <c r="A65" i="5" s="1"/>
  <c r="A66" i="5" s="1"/>
  <c r="A67" i="5" s="1"/>
  <c r="A68" i="5" s="1"/>
  <c r="A69" i="5" s="1"/>
  <c r="A70" i="5" s="1"/>
  <c r="A71" i="5" s="1"/>
  <c r="A72" i="5" s="1"/>
  <c r="A73" i="5" s="1"/>
  <c r="A74" i="5" s="1"/>
  <c r="A75" i="5" s="1"/>
  <c r="A76" i="5" s="1"/>
  <c r="A77" i="5" s="1"/>
  <c r="A78" i="5" s="1"/>
  <c r="A79" i="5" s="1"/>
  <c r="A80" i="5" s="1"/>
  <c r="A81" i="5" s="1"/>
  <c r="A82" i="5" s="1"/>
  <c r="A83" i="5" s="1"/>
  <c r="A84" i="5" s="1"/>
  <c r="A85" i="5" s="1"/>
  <c r="A86" i="5" s="1"/>
  <c r="A87" i="5" s="1"/>
  <c r="A88" i="5" s="1"/>
  <c r="A89" i="5" s="1"/>
  <c r="A90" i="5" s="1"/>
  <c r="A91" i="5" s="1"/>
  <c r="A92" i="5" s="1"/>
  <c r="A93" i="5" s="1"/>
  <c r="A94" i="5" s="1"/>
  <c r="A95" i="5" s="1"/>
  <c r="A96" i="5" s="1"/>
  <c r="A97" i="5" s="1"/>
  <c r="A98" i="5" s="1"/>
  <c r="A99" i="5" s="1"/>
  <c r="A100" i="5" s="1"/>
  <c r="A101" i="5" s="1"/>
  <c r="A102" i="5" s="1"/>
  <c r="A103" i="5" s="1"/>
  <c r="A104" i="5" s="1"/>
  <c r="A105" i="5" s="1"/>
  <c r="A4" i="6"/>
  <c r="A5" i="6" s="1"/>
  <c r="A6" i="6" s="1"/>
  <c r="A7" i="6" s="1"/>
  <c r="A8" i="6" s="1"/>
  <c r="A9" i="6" s="1"/>
  <c r="A10" i="6" s="1"/>
  <c r="A11" i="6" s="1"/>
  <c r="A12" i="6" s="1"/>
  <c r="A13" i="6" s="1"/>
  <c r="A14" i="6" s="1"/>
  <c r="A15" i="6" s="1"/>
  <c r="A16" i="6" s="1"/>
  <c r="A17" i="6" s="1"/>
  <c r="A18" i="6" s="1"/>
  <c r="A19" i="6" s="1"/>
  <c r="A20" i="6" s="1"/>
  <c r="A21" i="6" s="1"/>
  <c r="A22" i="6" s="1"/>
  <c r="A23" i="6" s="1"/>
  <c r="A24" i="6" s="1"/>
  <c r="A25" i="6" s="1"/>
  <c r="A26" i="6" s="1"/>
  <c r="A27" i="6" s="1"/>
  <c r="I111" i="5" l="1"/>
  <c r="C3" i="7" s="1"/>
  <c r="C5" i="7" s="1"/>
  <c r="A28" i="6"/>
  <c r="A29" i="6" s="1"/>
  <c r="A30" i="6" s="1"/>
  <c r="A31" i="6" s="1"/>
  <c r="A32" i="6" s="1"/>
  <c r="A33" i="6" s="1"/>
  <c r="A34" i="6" s="1"/>
  <c r="A35" i="6" s="1"/>
  <c r="A36" i="6" s="1"/>
  <c r="A37" i="6" s="1"/>
  <c r="A38" i="6" s="1"/>
  <c r="A39" i="6" s="1"/>
  <c r="A40" i="6" s="1"/>
  <c r="A41" i="6" s="1"/>
  <c r="A42" i="6" s="1"/>
  <c r="A43" i="6" s="1"/>
  <c r="A44" i="6" s="1"/>
  <c r="A45" i="6" s="1"/>
  <c r="A46" i="6" s="1"/>
  <c r="A47" i="6" s="1"/>
  <c r="A48" i="6" s="1"/>
  <c r="A49" i="6" s="1"/>
  <c r="A50" i="6" s="1"/>
  <c r="A51" i="6" s="1"/>
  <c r="A52" i="6" s="1"/>
  <c r="A53" i="6" s="1"/>
  <c r="A54" i="6" s="1"/>
  <c r="A55" i="6" s="1"/>
  <c r="A56" i="6" s="1"/>
  <c r="A57" i="6" s="1"/>
  <c r="A58" i="6" s="1"/>
  <c r="A59" i="6" s="1"/>
  <c r="A60" i="6" s="1"/>
  <c r="A61" i="6" s="1"/>
  <c r="A62" i="6" s="1"/>
  <c r="A63" i="6" s="1"/>
  <c r="A64" i="6" s="1"/>
  <c r="A65" i="6" s="1"/>
  <c r="A66" i="6" s="1"/>
  <c r="A67" i="6" s="1"/>
  <c r="A68" i="6" s="1"/>
  <c r="A69" i="6" s="1"/>
  <c r="A70" i="6" s="1"/>
  <c r="A71" i="6" s="1"/>
  <c r="A72" i="6" s="1"/>
  <c r="A73" i="6" s="1"/>
  <c r="A74" i="6" s="1"/>
  <c r="A75" i="6" s="1"/>
  <c r="A76" i="6" s="1"/>
  <c r="A77" i="6" s="1"/>
  <c r="A78" i="6" s="1"/>
</calcChain>
</file>

<file path=xl/sharedStrings.xml><?xml version="1.0" encoding="utf-8"?>
<sst xmlns="http://schemas.openxmlformats.org/spreadsheetml/2006/main" count="1414" uniqueCount="725">
  <si>
    <t>No</t>
  </si>
  <si>
    <t>Tentang</t>
  </si>
  <si>
    <t>Dasar Hukum</t>
  </si>
  <si>
    <t>Bukti</t>
  </si>
  <si>
    <t>Status</t>
  </si>
  <si>
    <t>Keterangan</t>
  </si>
  <si>
    <t>Persyaratan Pendahuluan</t>
  </si>
  <si>
    <t>Wajib</t>
  </si>
  <si>
    <t>Konsultan Pengawas Independen</t>
  </si>
  <si>
    <t>Pengalihan Saham PT ABJ</t>
  </si>
  <si>
    <t>Apabila ada</t>
  </si>
  <si>
    <t>Not Yet</t>
  </si>
  <si>
    <t>Proposal Modifikasi</t>
  </si>
  <si>
    <t>Kompensasi atas Modifikasi</t>
  </si>
  <si>
    <t>Done</t>
  </si>
  <si>
    <t>Pelatihan Personel</t>
  </si>
  <si>
    <t>Inventaris</t>
  </si>
  <si>
    <t>Dokumen Program Inventaris Bersama</t>
  </si>
  <si>
    <t>Perbaikan Menyeluruh</t>
  </si>
  <si>
    <t>Penyelesaian Sengketa</t>
  </si>
  <si>
    <t>a.Surat Pemberitahuan
b.Surat Penunjukan Mediator
c.Surat Penunjukan Arbiter</t>
  </si>
  <si>
    <t>PIC</t>
  </si>
  <si>
    <t>Implementasi</t>
  </si>
  <si>
    <t>Hak Akses PAM JAYA</t>
  </si>
  <si>
    <t>Program Rehabilitasi</t>
  </si>
  <si>
    <t>Desain Akhir Pekerjaan Rehabilitasi</t>
  </si>
  <si>
    <t>Panduan Pengoperasian dan Pemeliharaan</t>
  </si>
  <si>
    <t>Daftar Aset</t>
  </si>
  <si>
    <t>Uji Komisioning</t>
  </si>
  <si>
    <t>MC 100</t>
  </si>
  <si>
    <t>Berita Acara Penyelesaian Pekerjaan</t>
  </si>
  <si>
    <t>Penyimpanan Aset Terdahulu</t>
  </si>
  <si>
    <t>Pembayaran Denda</t>
  </si>
  <si>
    <t>Ketentuan Tenaga Kerja</t>
  </si>
  <si>
    <t>Prosedur Pengoperasian dan Pemeliharaan</t>
  </si>
  <si>
    <t>Limbah</t>
  </si>
  <si>
    <t>Pengujian Kualitas Air Minum Curah</t>
  </si>
  <si>
    <t>Pembacaan Peralatan Pengukuran Pertama Kali</t>
  </si>
  <si>
    <t>Pengujian Peralatan Pengukuran</t>
  </si>
  <si>
    <t>Penyesuaian Tagihan Air Minum Curah</t>
  </si>
  <si>
    <t>Denda Kegagalan Kinerja</t>
  </si>
  <si>
    <t>Pencairan Jaminan Pengoperasian dan Pemeliharaan</t>
  </si>
  <si>
    <t>Kompensasi Realisasi Investasi Program Rehabilitasi</t>
  </si>
  <si>
    <t>Penggunaan Penerimaan Klaim</t>
  </si>
  <si>
    <t>Bukti Asuransi</t>
  </si>
  <si>
    <t>Pelatihan Personel PAM JAYA</t>
  </si>
  <si>
    <t>Perbaikan Menyeluruh Sebelum Penyerahan Kembali</t>
  </si>
  <si>
    <t>Upaya Keamanan dan Keselamatan</t>
  </si>
  <si>
    <t>Utilitas di Lokasi</t>
  </si>
  <si>
    <t>Dokumen Pendukung Program Konstruksi</t>
  </si>
  <si>
    <t>Tanggung Jawab Kerusakan</t>
  </si>
  <si>
    <t>Uji Pengoperasian Rehabilitasi</t>
  </si>
  <si>
    <t>Jadwal Pemeliharaan</t>
  </si>
  <si>
    <t>Pengendalian Pencemaran</t>
  </si>
  <si>
    <t>Air Minum Curah Tidak Memenuhi Syarat</t>
  </si>
  <si>
    <t>Pemeliharaan dan Penggantian Peralatan Pengukuran</t>
  </si>
  <si>
    <t>Kewajiban Pencadangan Pembayaran Pekerjaan Rehabilitasi</t>
  </si>
  <si>
    <t>Berita Acara Pencatatan</t>
  </si>
  <si>
    <t>Perubahan Dokumen Proyek</t>
  </si>
  <si>
    <t>Pemantauan dan Inspeksi</t>
  </si>
  <si>
    <t>Pembukuan, Pencatatan dan Audit</t>
  </si>
  <si>
    <t>Pengakhiran karena Peristiwa Keadaan Kahar</t>
  </si>
  <si>
    <t xml:space="preserve"> </t>
  </si>
  <si>
    <t xml:space="preserve">Implementasi </t>
  </si>
  <si>
    <t>Penyetoran Ekuitas Awal</t>
  </si>
  <si>
    <t>Pasal 2.2  A&amp;PK Induk</t>
  </si>
  <si>
    <t>Bukti Penyetoran Ekuitas</t>
  </si>
  <si>
    <t>Pasal 2.3 A&amp;PK Induk</t>
  </si>
  <si>
    <t>a. Akta Pendirian, Anggaran Dasar beserta perubahan, dan Akta Pengesahan;
b. Salinan Keputusan Direksi, Dewan Komisaris;
c. Daftar Nominasi KPI (PT Surveyor Indonesia); dan
d. Berita Acara Pemenuhan Persyaratan Pendahuluan Perjanjian Induk</t>
  </si>
  <si>
    <t>Penyetoran Ekuitas Selama Jangka Waktu Kerja Sama</t>
  </si>
  <si>
    <t>Pasal 6.2 A&amp;PK Induk</t>
  </si>
  <si>
    <t>a. Bukti Penyetoran Ekuitas Tahun Pertama;
b. Bukti Penyetoran Ekuitas Tahun Kedua;
c. Bukti Penyetoran Ekuitas Tahun Ketiga;
d. Bukti Penyetoran Ekuitas Tahun Keempat;
e. Bukti Penyetoran Ekuitas Tahun Kelima;
f. Bukti Penyetoran Ekuitas Tahun Keenam;
g. Bukti Penyetoran Ekuitas Tahun Ketujuh;
h. Bukti Penyetoran Ekuitas Tahun Kedelapan;
i. Bukti Penyetoran Ekuitas Tahun Kesembilan;
j. Bukti Penyetoran Ekuitas Tahun Kesepuluh;
k. Bukti Penyetoran Ekuitas Tahun Kesebelas;
l. Bukti Penyetoran Ekuitas Tahun Keduabelas;
m. Bukti Penyetoran Ekuitas Tahun Ketigabelas;
n. Bukti Penyetoran Ekuitas Tahun Keempatbelas;
o. Bukti Penyetoran Ekuitas Tahun Kelimabelas;
p. Bukti Penyetoran Ekuitas Tahun Keenambelas;
q. Bukti Penyetoran Ekuitas Tahun Ketujuhbelas;
r. Bukti Penyetoran Ekuitas Tahun Kedelapanbelas;
s. Bukti Penyetoran Ekuitas Tahun Kesembilanbelas;
t. Bukti Penyetoran Ekuitas Tahun Keduapuluh;
u. Bukti Penyetoran Ekuitas Tahun Keduapuluh satu;
v. Bukti Penyetoran Ekuitas Tahun Keduapuluh dua;
w. Bukti Penyetoran Ekuitas Tahun Keduapuluh tiga;
x. Bukti Penyetoran Ekuitas Tahun Keduapuluh empat; dan
y. Bukti Penyetoran Ekuitas Tahun Keduapuluh lima.</t>
  </si>
  <si>
    <t>Sub Kontrak</t>
  </si>
  <si>
    <t>Pasal 10.1 A&amp;PK Induk</t>
  </si>
  <si>
    <t>Dokumen Proyek</t>
  </si>
  <si>
    <t>Pasal 10.3 A&amp;PK Induk</t>
  </si>
  <si>
    <t>Akses ke lokasi</t>
  </si>
  <si>
    <t>Pasal 10.5 A&amp;PK Induk</t>
  </si>
  <si>
    <t>Dokumen Akses Pihak Pertama</t>
  </si>
  <si>
    <t>Done (dengan catatan)</t>
  </si>
  <si>
    <t>Pasal 10.6 A&amp;PK Induk</t>
  </si>
  <si>
    <t>a. Daftar Nominasi KPI
b. Perjanjian KPI (PT Surveyor Indonesia)
c. Addendum Perjanjian KPI (PT Surveyor Indonesia)
d. Perjanjian KPI (PT Sucofindo)</t>
  </si>
  <si>
    <t>Akses Lokasi kepada KPI</t>
  </si>
  <si>
    <t>Dokumen Akses KPI</t>
  </si>
  <si>
    <t>Pasal 10.7 A&amp;PK Induk</t>
  </si>
  <si>
    <t>Surat Permohonan Pengalihan Saham PT ABJ</t>
  </si>
  <si>
    <t>Tingkat Komponen dalam Negeri</t>
  </si>
  <si>
    <t>Pasal 10.8 A&amp;PK Induk</t>
  </si>
  <si>
    <t>Dokumen TKDN</t>
  </si>
  <si>
    <t>Kepastian Qualitas</t>
  </si>
  <si>
    <t>Pasal 10.9 A&amp;PK Induk</t>
  </si>
  <si>
    <t>a. Dokumen Program Kepastian Kualitas
b. Berita Acara Qualitity Control
c. Bukti Pemenuhan</t>
  </si>
  <si>
    <t>Pasal 10.10 A&amp;PK Induk</t>
  </si>
  <si>
    <t>Ganti Rugi</t>
  </si>
  <si>
    <t>Pasal 11.1 A&amp;PK Induk</t>
  </si>
  <si>
    <t>Bukti pembayaran Ganti Rugi</t>
  </si>
  <si>
    <t>Keadaan Kahar</t>
  </si>
  <si>
    <t>Pasal 13.2 A&amp;PK Induk</t>
  </si>
  <si>
    <t>Surat Pemberitahuan Peristiwa Keadaan Kahar</t>
  </si>
  <si>
    <t>Peristiwa Modifikasi</t>
  </si>
  <si>
    <t>Pasal 14.2 A&amp;PK Induk</t>
  </si>
  <si>
    <t xml:space="preserve">a. Surat Pemberitahuan Modifikasi
b. Risalah Rapat Pembahasan Modifikasi </t>
  </si>
  <si>
    <t>Pasal 14.3 A&amp;PK Induk</t>
  </si>
  <si>
    <t>Modifikasi Yang Dikecualikan</t>
  </si>
  <si>
    <t>Pasal 14.4 A&amp;PK Induk</t>
  </si>
  <si>
    <t>Pasal 14.5 A&amp;PK Induk</t>
  </si>
  <si>
    <t>Surat Klarifikasi mengenai Permohonan 
Modifikasi Yang Dikecualikan yang telah 
diperbaiki</t>
  </si>
  <si>
    <t>Perubahan Realisasi Biaya atas Belanja Modal Yang Telah Ditentukan</t>
  </si>
  <si>
    <t>Pasal 14.7 A&amp;PK Induk</t>
  </si>
  <si>
    <r>
      <rPr>
        <sz val="11"/>
        <color rgb="FF000000"/>
        <rFont val="Aptos Narrow"/>
        <family val="2"/>
        <scheme val="minor"/>
      </rPr>
      <t>a. Laporan belanja modal (</t>
    </r>
    <r>
      <rPr>
        <i/>
        <sz val="11"/>
        <color rgb="FF000000"/>
        <rFont val="Aptos Narrow"/>
        <family val="2"/>
        <scheme val="minor"/>
      </rPr>
      <t>capital expenditures</t>
    </r>
    <r>
      <rPr>
        <sz val="11"/>
        <color rgb="FF000000"/>
        <rFont val="Aptos Narrow"/>
        <family val="2"/>
        <scheme val="minor"/>
      </rPr>
      <t>)
b. Surat Permohonan Subtitusi</t>
    </r>
  </si>
  <si>
    <t xml:space="preserve">Subtitusi </t>
  </si>
  <si>
    <t>Pasal 14.8 A&amp;PK Induk</t>
  </si>
  <si>
    <t>a. Proposal Subtitusi (Surat/Risalah Rapat)
b. Berita Acara Kesepakatan Subtitusi</t>
  </si>
  <si>
    <t xml:space="preserve">Pengakhiran Lebih Awai Karena Kegagalan Mencapai Tanggal Efektif </t>
  </si>
  <si>
    <t>Pasal 16.2 A&amp;PK Induk</t>
  </si>
  <si>
    <t>Surat Pemberitahuan Pengakhiran</t>
  </si>
  <si>
    <t>Peristiwa Cidera Janji</t>
  </si>
  <si>
    <t>Pasal 16.3 huruf (b) A&amp;PK Induk</t>
  </si>
  <si>
    <t>Surat Pemberitahuan Cidera Janji PAM JAYA</t>
  </si>
  <si>
    <t>Cidera Janji</t>
  </si>
  <si>
    <t>Dokumen Pemenuhan Pemulihan Cidera Janji 
(90 hari)</t>
  </si>
  <si>
    <t>Dampak Biaya Pengambilalihan Sementara</t>
  </si>
  <si>
    <t>Pasal 17.6 A&amp;PK Induk</t>
  </si>
  <si>
    <t>Bukti Pembayaran dalam hal Pengambilalihan 
Sementara</t>
  </si>
  <si>
    <t>Pengawasan</t>
  </si>
  <si>
    <t>Pasal 18.1 A&amp;PK Induk</t>
  </si>
  <si>
    <t>Surat Tanggapan atas Pemberitahuan Pengawasan PAM JAYA (1x24 jam)</t>
  </si>
  <si>
    <t>Akuntansi</t>
  </si>
  <si>
    <t>Pasal 18.3 A&amp;PK Induk</t>
  </si>
  <si>
    <t xml:space="preserve">a. Laporan Kuartal (4 Kuartal)
b. Laporan Keuangan Tahunan </t>
  </si>
  <si>
    <t>Dokumentasi</t>
  </si>
  <si>
    <t>Pasal 18.4 A&amp;PK Induk</t>
  </si>
  <si>
    <t>Penyerahan Proyek Karena Berakhirnya Jangka Waktu Perjanjian</t>
  </si>
  <si>
    <t>Pasal 19.1 A&amp;PK Induk</t>
  </si>
  <si>
    <t>Rencana Penyerahan Kembali Proyek</t>
  </si>
  <si>
    <t>Pasal 19.2 A&amp;PK Induk</t>
  </si>
  <si>
    <t>Surat rencana program pelatihan personel</t>
  </si>
  <si>
    <t>Pasal 19.3 A&amp;PK Induk</t>
  </si>
  <si>
    <t>Pasal 19.4 A&amp;PK Induk</t>
  </si>
  <si>
    <t>a. Laporan Hasil Survei
b. Laporan Perbaikan</t>
  </si>
  <si>
    <t>Penyerahan Proyek Karena Pengakhiran Perjanjian Lebih Awal</t>
  </si>
  <si>
    <t>Pasal 19.6 A&amp;PK Induk</t>
  </si>
  <si>
    <t>Rencana Penyerahan Proyek</t>
  </si>
  <si>
    <t>Perbaikan Fasilitas</t>
  </si>
  <si>
    <t>Pasal 19.7 A&amp;PK Induk</t>
  </si>
  <si>
    <t>Laporan Perbaikan Fasilitas</t>
  </si>
  <si>
    <t>Jaminan Kondisi Proyek Saat Penyerahan</t>
  </si>
  <si>
    <t>Pasal 19.8 A&amp;PK Induk</t>
  </si>
  <si>
    <t xml:space="preserve">Laporan </t>
  </si>
  <si>
    <t>Jaminan Penyerahan</t>
  </si>
  <si>
    <t>Pasal 19.9 A&amp;PK Induk</t>
  </si>
  <si>
    <t>Jaminan Bank Garansi</t>
  </si>
  <si>
    <t>Kewajiban Pada Saat penyerahan</t>
  </si>
  <si>
    <t>Pasal 19.10 A&amp;PK Induk</t>
  </si>
  <si>
    <t>Laporan Proyek</t>
  </si>
  <si>
    <t>Pasal 20.2 A&amp;PK Induk</t>
  </si>
  <si>
    <t>a. Surat Pemberitahuan
b. Surat Penunjukan Mediator
c. Surat Penunjukan Arbiter</t>
  </si>
  <si>
    <t>PAM JAYA telah mengirimkan surat pengajuan Akses Pihak Pertama melalui surat PAM JAYA No. e-78852/PS.0.04 tertanggal 29 April 2026.</t>
  </si>
  <si>
    <t xml:space="preserve">Kewajiban Pada Saat Penandatanganan </t>
  </si>
  <si>
    <t>Pasal 2.2 A&amp;PK Greenfield</t>
  </si>
  <si>
    <t>a. Jaminan Pelaksanaan Tahap I; dan
b. Bukti Penyetoran Ekuitas.</t>
  </si>
  <si>
    <t>Pasal 2.3 A&amp;PK Greenfield</t>
  </si>
  <si>
    <t>a. Dokumen Desain;
b. Surat Pernyataan Jaminan dari PT ABJ;
c. Seluruh Dokumen Proyek;
d. Dokumen Asli Hasil Studi Sinkronisasi Pengembangan SPAM lain di wilayah Provinsi DKI Jakarta;
e. Dokumen Jaminan Pelaksanaan Tahap II;
f. Dokumen Pembiayaan Senior;
g. Sertifikat Polis Asuransi Yang Disyaratkan;
h.  Dokumen Pendapat Hukum Konsultan Hukum Independen PT ABJ
i. Seluruh Perizinan; dan
j. Berita Acara Pemenuhan Persyaratan Pendahuluan Perjanjian Greenfield</t>
  </si>
  <si>
    <t>Jaminan Pelaksanaan Tahap II</t>
  </si>
  <si>
    <t>Pasal 6.1 A&amp;PK Greenfield</t>
  </si>
  <si>
    <t>Pencairan Jaminan Pelaksanaan Tahap II</t>
  </si>
  <si>
    <t>Pasal 6.2 A&amp;PK Greenfield</t>
  </si>
  <si>
    <t>Surat Pemberitahuan/Bukti Pencairan Jaminan 
Pelaksanaan Tahap II</t>
  </si>
  <si>
    <t>Jaminan Pengoperasian dan Pemeliharaan</t>
  </si>
  <si>
    <t>Pasal 6.3 A&amp;PK Greenfield</t>
  </si>
  <si>
    <t>Berita Acara Serah Terima Jaminan Pengoperasian dan Pemeliharaan</t>
  </si>
  <si>
    <t>Pasal 6.4 A&amp;PK Greenfield</t>
  </si>
  <si>
    <t>Surat Pemberitahuan/Bukti Pencairan Jaminan Pengoperasian dan Pemeliharaan</t>
  </si>
  <si>
    <t>Ketentuan Umum</t>
  </si>
  <si>
    <t>Pasal 6.5 A&amp;PK Greenfield</t>
  </si>
  <si>
    <t>Surat Pemberitahuan Jika Terjadi Perubahan Kondisi Keuangan dari Bank Penerbit</t>
  </si>
  <si>
    <t xml:space="preserve">Pemenuhan Pembiayaan </t>
  </si>
  <si>
    <t>Pasal 7.1 A&amp;PK Greenfield</t>
  </si>
  <si>
    <t>Bukti Pemenuhan Pembiayaan 
(Dokumen Pembiayaan Senior)</t>
  </si>
  <si>
    <t>Pemenuhan Pembiayaan Ulang</t>
  </si>
  <si>
    <t>Pasal 7.2 A&amp;PK Greenfield</t>
  </si>
  <si>
    <t>a. Surat Pemberitahuan Pembiayaan Ulang
b. Laporan Usulan Pembiayaan Ulang serta Persyaratan 
Rencana Pembiayaan Ulang
c. Salinan Dokumen Pembiayaan Senior (5 hari kerja setelah tanggal penandatangan Dokumen Pembiayaan Senior)</t>
  </si>
  <si>
    <t>Surat Pemberitahuan Pembiayaan Ulang</t>
  </si>
  <si>
    <t>Inspeksi Lokasi</t>
  </si>
  <si>
    <t>Pasal 8.4 A&amp;PK Greenfield</t>
  </si>
  <si>
    <t>Laporan Inspeksi</t>
  </si>
  <si>
    <t>Pasal 8.5 A&amp;PK Greenfield</t>
  </si>
  <si>
    <t>Pengakhiran Penggunaan Lokasi</t>
  </si>
  <si>
    <t>Pasal 8.6 A&amp;PK Grenfield</t>
  </si>
  <si>
    <t>Laporan Pembayaran Kompensasi atas Penguasaan Lokasi</t>
  </si>
  <si>
    <t>Pasal 8.7 A&amp;PK Greenfield</t>
  </si>
  <si>
    <t>Berita Acara Kesepakatan Pengalihan Pengaturan dan
Keamanan</t>
  </si>
  <si>
    <t>Pungutan Terkait Lokasi dan Pajak Terkait 
Tanah</t>
  </si>
  <si>
    <t>Pasal 8.9 A&amp;PK Greenfield</t>
  </si>
  <si>
    <t>Bukti Pembayaran</t>
  </si>
  <si>
    <t>Pasal 8.10 A&amp;PK Greenfield</t>
  </si>
  <si>
    <t>a. Kontrak Terkait Utilitas; dan
b. Laporan Pengadaan Utilitas</t>
  </si>
  <si>
    <t>Artefak</t>
  </si>
  <si>
    <t>Pasal 8.13 A&amp;PK Greenfield</t>
  </si>
  <si>
    <t>Surat Pemberitahuan Penemuan Artefak</t>
  </si>
  <si>
    <t>Pekerjaan Konstruksi</t>
  </si>
  <si>
    <t>Pasal 9.1 A&amp;PK Greenfield</t>
  </si>
  <si>
    <t>a. Laporan Bulanan
b. Surat Keterlambatan</t>
  </si>
  <si>
    <t>Desain Dasar</t>
  </si>
  <si>
    <t>Pasal 9.2 A&amp;PK Greenfield</t>
  </si>
  <si>
    <t>Desain Akhir Pertama dan Desain Akhir</t>
  </si>
  <si>
    <t>Pasal 9.3 A&amp;PK Greenfield</t>
  </si>
  <si>
    <t>a. Desain Akhir Pertama (Syarat Pendahuluan Greenfield)
b. Desain Akhir (31 Desember 2024)
c. Surat Klarifikasi Tertulis atas Desain Akhir</t>
  </si>
  <si>
    <t>Pasal 9.5 A&amp;PK Greenfield</t>
  </si>
  <si>
    <t>a. Dokumen Pendukung Program Konstruksi
b. Dokumen Pendukung Program Konstruksi Yang Sudah Disesuaikan</t>
  </si>
  <si>
    <t>a. Laporan Harian, Mingguan dan Bulanan Progress Pekerjaan
b. Laporan Hasil Inspeksi
c. Laporan Hasil Evaluasi Quality Control
d. Pemberitahuan Perubahan Metode Kerja</t>
  </si>
  <si>
    <t>Laporan mengenai justifikasi teknis dan revisi shop drawing</t>
  </si>
  <si>
    <t>Pasal 9.6 A&amp;PK Greenfield</t>
  </si>
  <si>
    <t>Daftar Aset Fasilitas Distribusi Baru (disampaikan bersamaan dengan DPPP)</t>
  </si>
  <si>
    <t>Daftar Aset Fasilitas Produksi Baru (Dokumen Persyaratan Serah Terima)</t>
  </si>
  <si>
    <t>Tanggung Jawab atas Dokumen PT ABJ</t>
  </si>
  <si>
    <t>Pasal 9.7 A&amp;PK Greenfield</t>
  </si>
  <si>
    <t>Pasal 9.8 A&amp;PK Greenfield</t>
  </si>
  <si>
    <t>Bukti Perbaikan atau Kerusakan selama Pekerjaan Konstruksi</t>
  </si>
  <si>
    <t>Pasal 10.1 A&amp;PK Greenfield</t>
  </si>
  <si>
    <t>a. Surat Pemberitahuan Uji Komisioning
b. Berita Acara Uji Komisioning
c. Laporan Penyelesaian Uji Komisioning</t>
  </si>
  <si>
    <t xml:space="preserve">Surat Pemberitahuan Uji Komisioning Ulang </t>
  </si>
  <si>
    <t>Surat Pemberitahuan Uji Komisioning Ulang</t>
  </si>
  <si>
    <t>Pasal 10.2 A&amp;PK Greenfield</t>
  </si>
  <si>
    <t>a. Berita Acara MC 100
b. Berita Acara Peninjauan Lapangan</t>
  </si>
  <si>
    <t>Berita Acara Penyelesaian Pekerjaan
Fasilitas Distribusi Baru</t>
  </si>
  <si>
    <t>Pasal 10.3 A&amp;PK Greenfield 
dan Lampiran 25</t>
  </si>
  <si>
    <t>Dokumen Persyaratan Penyelesaian Pekerjaan Per Sub Proyek Fasilitas Distribusi Baru terdiri dari:
a Persetujuan KPI lulus Komisioning
b. as built drawing
c. Dokumen Persetujuan dan salinannya
d. Bentuk Dokumentasi yang sudah terhubung dengan BIM
e. Dokumen Rencana Pelatihan personil 
f. Rincian Daftar Aset
g. Dokumen Rekapitulasi Nilai Akhir Proyek
h. Daftar persetujuan justifikasi teknis, BA MC 0, BA MC 100, BAPL</t>
  </si>
  <si>
    <t>Berita Acara Penyelesaian Pekerjaan
Fasilitas Produksi Baru</t>
  </si>
  <si>
    <t xml:space="preserve">Dokumen Persyaratan Penyelesaian Pekerjaan Fasilitas Produksi Baru terdiri dari:
a. Persetujuan KPI lulus Komisioning
b. as built drawing
c. Dokumen Persetujuan dan salinannya
d. Bentuk Dokumentasi yang sudah terhubung dengan BIM
e. Salinan dokumen prosedur akses 
f.  Salinan prosedur OM
g. Jaminan OM 
h. Rincian Data Aset
i. Dokumen Rekapitulasi Nilai Akhir Proyek
j.  Daftar persetujuan justifikasi teknis, BA MC 0, 
BA MC 100, BAPL </t>
  </si>
  <si>
    <t>Tanggal Operasi Komersial Fasilitas Distribusi Baru</t>
  </si>
  <si>
    <t>Pasal 10.4 A&amp;PK Greenfield</t>
  </si>
  <si>
    <t>Dokumen Serah Terima untuk TOK Fasilitas Distribusi Baru terdiri dari:
a. BAPP
b. Rekapitulasi Daftar Aset
c. Progress report NC yang terpasang +  rencana pemenuhan NC
d. Berita Acara Serah Terima Tanggal Operasi Komersial Fasilitas Distribusi Baru</t>
  </si>
  <si>
    <t>Tanggal Operasi Komersial Fasilitas Produksi Baru</t>
  </si>
  <si>
    <t>Dokumen Serah Terima untuk TOK Fasilitas Produksi Baru terdiri dari:
a. BAPP
b. Surat Hasil Verifikasi KPI 
c. Rekapitulasi Daftar Aset
d. Berita Acara Serah Terima Tanggal Operasi Komersial Fasilitas Produksi Baru</t>
  </si>
  <si>
    <t>Persetujuan</t>
  </si>
  <si>
    <t>Pasal 10.5 A&amp;PK Greenfield</t>
  </si>
  <si>
    <t>Bukti Perolehan Seluruh Persetujuan</t>
  </si>
  <si>
    <t>Keterlambatan Tanggal Operasi Komersial 
Karena Kegagalan Atau Kelalaian PT ABJ</t>
  </si>
  <si>
    <t>Pasal 10.6 A&amp;PK Greenfield</t>
  </si>
  <si>
    <t>a. Bukti Pemenuhan Penyelesaian Pekerjaan (90 hari)
b. Bukti Pembayaran Denda Keterlambatan Tanggal Operasi Komersial</t>
  </si>
  <si>
    <t>Keterlambatan Denda</t>
  </si>
  <si>
    <t>Pasal 10.7 A&amp;PK Greenfield</t>
  </si>
  <si>
    <t>Bukti Pembayaran Denda</t>
  </si>
  <si>
    <t>Pembayaran Denda beserta Bunga atas 
Keterlambatan Pembayaran Denda TOK</t>
  </si>
  <si>
    <t>Bukti Pembayaran seluruh Denda dan Bunga</t>
  </si>
  <si>
    <t>Keterlambatan Tanggal Operasi Komersial 
Disebabkan Oleh PAM JAYA</t>
  </si>
  <si>
    <t>Pasal 10.8 A&amp;PK Greenfield</t>
  </si>
  <si>
    <t>Hasil Kesepakatan Penyesuaian Jadwal Pelaksanaan Proyek</t>
  </si>
  <si>
    <t xml:space="preserve">Persiapan Penyerahan Fasilitas Distribusi Baru </t>
  </si>
  <si>
    <t>Pasal 11.1 A&amp;PK Greenfield</t>
  </si>
  <si>
    <t xml:space="preserve">Persiapan Penyerahan Fasilitas Distribusi 
Baru </t>
  </si>
  <si>
    <t xml:space="preserve">Risalah Rapat Pembahasan Penyerahan Fasilitas Distribusi Baru </t>
  </si>
  <si>
    <t xml:space="preserve">a. Surat Pemberitahuan Knowledge Transfer
b. Rencana Pelaksanaan Knowledge Transfer
c. Laporan Pelaksanaan Transfer Knowledege </t>
  </si>
  <si>
    <t>Pasal 11.4 A&amp;PK Greenfield</t>
  </si>
  <si>
    <t>Berita Acara Kesepakatan Pengaturan Pengalihan dan
Keamanan Fasilitas Distribusi Baru</t>
  </si>
  <si>
    <t>Ketersediaan Air Baku dan Pengurangan
Kuantitas Air Baku</t>
  </si>
  <si>
    <t>Pasal 12.1 A&amp;PK Greenfield</t>
  </si>
  <si>
    <t>Bukti Pembayaran Denda Kegagalan Kinerja</t>
  </si>
  <si>
    <t>Pencatatan Data Kuantitas dan Kualitas Air 
Baku</t>
  </si>
  <si>
    <t>Pasal 12.3 A&amp;PK Greenfield</t>
  </si>
  <si>
    <t>Bukti Pembayaran Denda Kegagalan Kinerja atas 
Tidak Tercapainya Volume Minimum Air Minum Curah</t>
  </si>
  <si>
    <t>Bukti Pemenuhan Pencatatan data Kuantitas dan 
Kualitas Air Baku</t>
  </si>
  <si>
    <t>Program Rehabilitasi untuk Fasilitas Produksi Baru</t>
  </si>
  <si>
    <t>Pasal 13.2 A&amp;PK Greenfield</t>
  </si>
  <si>
    <t>a. Desain Akhir Pekerjaan Rehabilitasi 
(disampaikan paling lambat 1 November)
b. Surat Klarifikasi atas Desain Akhir</t>
  </si>
  <si>
    <t>Kewajiban PT ABJ Sehubungan dengan Pekerjaan Rehabilitasi</t>
  </si>
  <si>
    <t>Pasal 13.3 A&amp;PK Greenfield</t>
  </si>
  <si>
    <t>Laporan Bulanan</t>
  </si>
  <si>
    <t>Pasal 13.4 A&amp;PK Greenfield</t>
  </si>
  <si>
    <t>a. Surat Pemberitahuan Uji Pengoperasian
b. Berita Acara Uji Pengoperasian
c. Laporan Penyelesaian Uji Pengoperasian
d. Berita Acara Serah Terima</t>
  </si>
  <si>
    <t>a. as built drawing
b. Rekap Nilai Proyek
c. Rincian Data Aset
d. Berita Acara Uji Pengoperasian</t>
  </si>
  <si>
    <t>Berita Acara Serah Terima</t>
  </si>
  <si>
    <t xml:space="preserve">Prosedur Pengoperasian dan Pemeliharaan </t>
  </si>
  <si>
    <t>Pasal 14.2 A&amp;PK Greenfield</t>
  </si>
  <si>
    <t>Dokumen Prosedur Pengoperasian dan Pemeliharaan 
Fasilitas Produksi Baru</t>
  </si>
  <si>
    <t>Perubahan atas Dokumen Prosedur Pengoperasian dan 
Pemeliharaan Fasilitas Produksi Baru</t>
  </si>
  <si>
    <t>Pemeliharaan Fasilitas</t>
  </si>
  <si>
    <t>Pasal 14.4 A&amp;PK Greenfield</t>
  </si>
  <si>
    <t>Bukti Penyimpanan Dokumen Pemeliharaan Terjadwal 
dan tindakan pemeliharaan lainnya (disampaikan pada 
Tahun kelima setelah TOK FPB pertama kali &amp; 
setelahnya disampaikan setiap 5 Tahun sekali)</t>
  </si>
  <si>
    <t>Pasal 14.5 A&amp;PK Greenfield</t>
  </si>
  <si>
    <t>a. Dokumen Jadwal Pemeliharaan (1 bulan sebelum TOK)
b. Perbaikan atas Dokumen Jadwal Pemeliharaan</t>
  </si>
  <si>
    <t>Minimalisasi Dampak Pekerjaan Rehabilitasi</t>
  </si>
  <si>
    <t>Pasal 14.6 A&amp;PK Greenfield</t>
  </si>
  <si>
    <t>a. Surat Pemberitahuan apabila Pelaksanaan Pekerjaan Pemeliharaan Mengakibatkan Gangguan Terhadap Layanan Fasilitas Produksi Baru
b. Surat Pemberitahuan Penghentian Pekerjaan Pemeliharaan Tidak Terjadwal</t>
  </si>
  <si>
    <t>Pasal 14.8 A&amp;PK Greenfield</t>
  </si>
  <si>
    <t>a. Laporan Pengendalian Pencemaran
b. Surat Pemberitahuan atas Terjadinya Kerusakan atau Pencemaran Lingkungan</t>
  </si>
  <si>
    <t>Pasal 14.9 A&amp;PK Greenfield</t>
  </si>
  <si>
    <t>Bukti Pemenuhan</t>
  </si>
  <si>
    <t>Pasal 15.4 A&amp;PK Greenfield</t>
  </si>
  <si>
    <t>a. Hasil Pengujian Kualitas Air Minum Curah
b. Hasil Pengujian Kualitas Air Minum Curah oleh Pihak Independen</t>
  </si>
  <si>
    <t>Pasal 15.5 A&amp;PK Greenfield</t>
  </si>
  <si>
    <t>a. Surat Pemberitahuan Tentang Penyimpangan Kualitas
b. Hasil Uji Validasi
c. Rencana Kerja untuk Memenuhi Persyaratan Kualitas Air Minum Curah
d. Surat Pemberitahuan Tentang Pemenuhan Persyaratan Kualitas Air Minum Curah</t>
  </si>
  <si>
    <t>Pembacaan Peralatan Pengukuran Pertama 
Kali</t>
  </si>
  <si>
    <t>Pasal 16.1 A&amp;PK Greenfield</t>
  </si>
  <si>
    <t>a. Berita Acara Pembacaan Peralatan Pengukuran Pertama Kali Kualitas Air Curah FPB
b. Berita Acara Pembacaan Peralatan Pengukuran Pertama Kali Air Baku
c. Berita Acara Pembacaan Peralatan Pengukuran Pertama Kali Listrik FPB</t>
  </si>
  <si>
    <t>Pemelihaaan dan Penggantian Peralatan 
Pengukuran</t>
  </si>
  <si>
    <t>Pasal 16.2 A&amp;PK Greenfield</t>
  </si>
  <si>
    <t>a. Bukti Pemeliharaan Peralatan Pengukuran
b. Laporan Kegiatan</t>
  </si>
  <si>
    <t>Pasal 16.3 A&amp;PK Greenfield</t>
  </si>
  <si>
    <t xml:space="preserve">a. Bukti Pemenuhan
b. Bukti Perbaikan Peralatan Pengukuran
c. Berita Acara </t>
  </si>
  <si>
    <t>Pasal 17.2 A&amp;PK Greenfield</t>
  </si>
  <si>
    <t>a. Perhitungan Kembali Tagihan Air Minum Curah
b. Bukti Pembayaran Selisih Tagihan Air Minum Curah</t>
  </si>
  <si>
    <t>Kewajiban Pembayaran Tagihan Air Minum 
Curah</t>
  </si>
  <si>
    <t>a. Tagihan Air Minum Curah
b. Tagihan Listrik
c. Tagihan Air Baku</t>
  </si>
  <si>
    <t>Denda Kegagalan Kinerja Kualitas Air Minum 
Curah dan Layanan Fasilitas Produksi Baru</t>
  </si>
  <si>
    <t>Pasal 17.3 A&amp;PK Greenfield</t>
  </si>
  <si>
    <t>Kewajiban Pencadangan Pembayaran
Pekerjaan Rehabiltasi</t>
  </si>
  <si>
    <t>Pasal 17.4 A&amp;PK Greenfield</t>
  </si>
  <si>
    <t>Bukti Pembayaran Dana Cadangan 3%</t>
  </si>
  <si>
    <t>Tagihan Kontrak Berbasis Angsuran</t>
  </si>
  <si>
    <t>Pasal 18.2 A&amp;PK Greenfield</t>
  </si>
  <si>
    <t>Denda Kegagalan Kinerja Pencapaian Target 
Pembangunan Sambungan Langsung</t>
  </si>
  <si>
    <t>Pasal 18.3 A&amp;PK Greenfield</t>
  </si>
  <si>
    <t xml:space="preserve">a. Pembahasan Formula Perhitungan Denda
b. Bukti Pembayaran Tagihan Denda Kegagalan Kinerja Pencapaian Target Pembangunan Sambungan Langsung </t>
  </si>
  <si>
    <t>Pasal 19.1 A&amp;PK Greenfield</t>
  </si>
  <si>
    <t>Berita Acara Pencatatan Peralatan Pengukuran</t>
  </si>
  <si>
    <t>Asuransi Yang Disyaratkan</t>
  </si>
  <si>
    <t>Pasal 20.1 A&amp;PK Greenfield</t>
  </si>
  <si>
    <t>Polis Asuransi (Lampiran 3)</t>
  </si>
  <si>
    <t>Pasal 21.3 A&amp;PK Greenfield</t>
  </si>
  <si>
    <t>Perubahan atas Dokumen Proyek</t>
  </si>
  <si>
    <t>Tingkat Komponen Dalam Negeri</t>
  </si>
  <si>
    <t>Pasal 21.5 A&amp;PK Greenfield</t>
  </si>
  <si>
    <t>Pembuktian Pemenuhan TKDN</t>
  </si>
  <si>
    <t>Kepastian Kualitas</t>
  </si>
  <si>
    <t>Pasal 21.6 A&amp;PK Greenfield</t>
  </si>
  <si>
    <t>Dokumen Teknis</t>
  </si>
  <si>
    <t>Pasal 21.7 A&amp;PK Greenfield</t>
  </si>
  <si>
    <t>a. Bukti Penyimpanan Dokumen Teknis 
b. Dokumen Teknis (penyampaian Dokumen Teknis FDB paling lambat 2 bulan setelah TOK, dan FPB 2 bulan setelah TOK dan selanjutnya disampaikan 5 tahun sekali)</t>
  </si>
  <si>
    <t>Pasal 22.1 A&amp;PK Greenfield</t>
  </si>
  <si>
    <t>Dokumen Prosedur Akses Pihak Berwenang</t>
  </si>
  <si>
    <t>Pasal 22.2 A&amp;PK Greenfield</t>
  </si>
  <si>
    <t>Pelaporan</t>
  </si>
  <si>
    <t>Pasal 22.3 A&amp;PK Greenfied</t>
  </si>
  <si>
    <t>Laporan Kegiatan</t>
  </si>
  <si>
    <t>Pasal 24.2 A&amp;PK Greenfield</t>
  </si>
  <si>
    <t>a. Surat Pemberitahuan Peristiwa Keadaan Kahar
b. Bukti Peristiwa Keadaan Kahar
c. Risalah Rapat Pembahasan Peristiwa Keadaan Kahar</t>
  </si>
  <si>
    <t>Peristiwa Keadaan Kahar Terhadap 
PAM JAYA Setelah Tanggal Operasi Komersial</t>
  </si>
  <si>
    <t>Risalah Rapat Pembahasan Proposal Modifikasi akibat Keadaaan Kahar</t>
  </si>
  <si>
    <t>Prosedur Pemulihan dan Pengakhiran Cidera 
Janji</t>
  </si>
  <si>
    <t>Pasal 27.4 A&amp;PK Greenfield</t>
  </si>
  <si>
    <t>a. Surat Pemberitahuan Cidera Janji PAM JAYA
b. Bukti Pemenuhan
c. Risalah Rapat Pembahasan Pemulihan Cidera Janji
d. Surat Pemberitahuan Pengakhiran</t>
  </si>
  <si>
    <t>Bukti Pemenuhan Pembayaran atas Pengeluaran PAM JAYA sehubungan dengan pelaksanaan hak-hak untuk mengakhiri Perjanjian</t>
  </si>
  <si>
    <t>Pengakhiran Karena Peristiwa Keadaan 
Kahar</t>
  </si>
  <si>
    <t>Pasal 27.5 A&amp;PK Greenfield</t>
  </si>
  <si>
    <t>Pasal 28.2 A&amp;PK Greenfield</t>
  </si>
  <si>
    <t>Penyerahan Kembali Fasilitas Produksi Baru</t>
  </si>
  <si>
    <t>Pasal 29.1 A&amp;PK Greenfield</t>
  </si>
  <si>
    <t>a. Laporan Penyerahan atas Fasilitas Produksi Baru
b. Bukti Pemenuhan
c. Risalah Rapat Pembahasan Penyerahan dan Pengalihan Proyek</t>
  </si>
  <si>
    <t>Pasal 29.2 A&amp;PK Greenfield</t>
  </si>
  <si>
    <t>Biaya Penyerahan Proyek</t>
  </si>
  <si>
    <t>Pasal 29.3 A&amp;PK Greenfield</t>
  </si>
  <si>
    <t xml:space="preserve">Bukti Pemenuhan </t>
  </si>
  <si>
    <t>Pasal 29.4 A&amp;PK Greenfield</t>
  </si>
  <si>
    <t>a. Berita Acara Kesepakatan Pengaturan Pengalihan 
dan Keamanan atas Fasilitas Produksi Baru
b. Dafar Inventaris Fasilitas Produksi Baru</t>
  </si>
  <si>
    <t>Kondisi Penyerahan dan Jaminan 
Penyerahan</t>
  </si>
  <si>
    <t>Pasal 29.5 A&amp;PK Greenfield</t>
  </si>
  <si>
    <t>a. Bukti Pemenuhan 
b. Jaminan Bank Garansi</t>
  </si>
  <si>
    <t>Perbaikan Menyeluruh Sebelum Penyerahan 
Kembali</t>
  </si>
  <si>
    <t>Pasal 29.6 A&amp;PK Greenfield</t>
  </si>
  <si>
    <t>a. Laporan Terakhir 
b. Berita Acara Survei Lapangan atas Aset Proyek
c. Bukti Pemenuhan Pekerjaan Pembaruan
d. Surat Pemberitahuan Jadwal Perbaikan Menyeluruh
e. Berita Acara</t>
  </si>
  <si>
    <t>Realisasi Sambungan Langsung</t>
  </si>
  <si>
    <t>Pasal 29.7 A&amp;PK Greenfield</t>
  </si>
  <si>
    <t>Kewajiban Pada Saat Penyerahan</t>
  </si>
  <si>
    <t>Pasal 29.8 A&amp;PK Greenfield</t>
  </si>
  <si>
    <t>Tenaga Kerja PT ABJ</t>
  </si>
  <si>
    <t>Pasal 29.9 A&amp;PK Greenfield</t>
  </si>
  <si>
    <t>Pemberitahuan</t>
  </si>
  <si>
    <t>Pasal 30.1 A&amp;PK Greenfield</t>
  </si>
  <si>
    <t>Surat Pemberitahuan terkait Perubahan 
Alamat</t>
  </si>
  <si>
    <t>Kewajiban Pada Saat Penandatanganan</t>
  </si>
  <si>
    <t>Pasal 2.2 A&amp;PK Brownfield</t>
  </si>
  <si>
    <t>a. Jaminan Pelaksanaan Tahap I
b. Bukti Penyetoran Ekuitas</t>
  </si>
  <si>
    <t>Pasal 2.3 A&amp;PK Brownfield</t>
  </si>
  <si>
    <t>a. Surat Pernyataan Jaminan PT ABJ
b. Seluruh Dokumen Proyek
c. Sertifikat Polis Asuransi
d. Dokumen Pendapat Hukum dari Konsultan Hukum Independen PT ABJ
e. Berita Acara Pemenuhan Persyaratan Pendahuluan Perjanjian Brownfield</t>
  </si>
  <si>
    <t>Pemenuhan Pembiayaan</t>
  </si>
  <si>
    <t>Pasal 6.1 A&amp;PK Brownfield</t>
  </si>
  <si>
    <t xml:space="preserve">Bukti Pemenuhan Pembiayaan (Dokumen Pembiayaan Senior)
</t>
  </si>
  <si>
    <t>Pembiayaan Ulang</t>
  </si>
  <si>
    <t>Pasal 6.2 A&amp;PK Brownfield</t>
  </si>
  <si>
    <t>a. Surat Pemberitahuan Pembiayaan Ulang
b. Laporan Usulan Pembiayaan Ulang serta Persyaratan Rencana Pembiayaan Ulang
c. Salinan Dokumen Pembiayaan Senior (5 hari kerja setelah tanggal penandatangan Dokumen 
Pembiayaan Senior)</t>
  </si>
  <si>
    <t>Kondisi Lokasi</t>
  </si>
  <si>
    <t>Pasal 7.3 A&amp;PK Brownfield</t>
  </si>
  <si>
    <t>Laporan Pelaksanaan Proyek</t>
  </si>
  <si>
    <t>Pasal 7.4 A&amp;PK Brownfield</t>
  </si>
  <si>
    <t>Laporan Hasil Survei</t>
  </si>
  <si>
    <t>Hak Ases PAM JAYA</t>
  </si>
  <si>
    <t>Pasal 7.5  A&amp;PK Brownfield</t>
  </si>
  <si>
    <t>Pengakhiran Hak Penggunaan Lokasi</t>
  </si>
  <si>
    <t>Pasal 7.6 A&amp;PK Brownfield</t>
  </si>
  <si>
    <t>Pasal 7.7 A&amp;PK Brownfield</t>
  </si>
  <si>
    <t>Berita Acara</t>
  </si>
  <si>
    <t>Pungutan Terkait Lokasi dan Pajak Terkait Tanah</t>
  </si>
  <si>
    <t>Pasal 7.9 A&amp;PK Brownfield</t>
  </si>
  <si>
    <t xml:space="preserve">Utilitas Lokasi </t>
  </si>
  <si>
    <t>Pasal 7.10 A&amp;PK Brownfield</t>
  </si>
  <si>
    <t>Pasal 8.1 A&amp;PK Brownfield</t>
  </si>
  <si>
    <t>Pasal 8.2 A&amp;PK Brownfield</t>
  </si>
  <si>
    <t>a. Program Rehabilitasi (disampaikan paling lambat 11 bulan sejak Tanggal Penandatanganan)
b. Surat Klarifikasi Program Rehabilitasi
c. Perubahan Program Rehabilitasi
c. Laporan
d. Laporan Update Pekerjaan Rehabilitasi</t>
  </si>
  <si>
    <t xml:space="preserve">Pembaharuan terhadap Program Rehabilitasi terdiri dari:
a. laporan harian
b. laporan mingguan (termasuk s-curve yang terbaru)
c. laporan bulanan
d. laporan hasil inspeksi
e. laporan hasil evaluasi quality control (QC) (saat material on-site)
f. Justifikasi teknis, perubahan metode kerja dan rencana anggaran biaya </t>
  </si>
  <si>
    <t>Pasal 8.3 A&amp;PK Brownfield</t>
  </si>
  <si>
    <t>a. Desain Akhir Pekerjaan Rehabilitasi (disampaikan paling lambat setiap tanggal 1 November setiap Tahun Buku Berjalan)
b. Surat Klarifikasi Desain Akhir Pekerjaan Rehabilitasi
(Konfirmasi dengan Tim Desain Brownfield)</t>
  </si>
  <si>
    <t>Kewajiban PT ABJ Sehubungan dengan Pekerjaan 
Rehablitasi</t>
  </si>
  <si>
    <t>Pasal 8.4 A&amp;PK Brownfield</t>
  </si>
  <si>
    <t>a. Laporan atas Penyimpangan, Keterlambatan, Gangguan atas Pelaksanaan Proyek dan Pekerjaan Rehabilitasi
b. Risalah Rapat</t>
  </si>
  <si>
    <t>Pasal 8.6 A&amp;PK Brownfield</t>
  </si>
  <si>
    <t>Dokumen Panduan Pengoperasian dan Pemeliharaan Fasilitas Produksi Eksisting</t>
  </si>
  <si>
    <t>Surat Klarifikasi dan Panduan Pengoperasian dan Pemeliharaan Fasilitas Produksi Eksisiting yang Sudah Diperbaiki</t>
  </si>
  <si>
    <t>Pasal 8.7 A&amp;PK Brownfield</t>
  </si>
  <si>
    <t>a. Daftar Aset
b. Surat Klarifikasi serta Daftar Aset Yang Telah Diperbaiki, Diubah dan/atau Disesuaikan 
c. Bukti Pemenuhan</t>
  </si>
  <si>
    <t>MC 0 dan Perubahan Pekerjaan Rehablitasi</t>
  </si>
  <si>
    <t>Pasal 9.1 A&amp;PK Brownfield</t>
  </si>
  <si>
    <t>a. Dokumen Pelaksanaan MC 0
b. Laporan Perubahan Aspek Pekerjaan Rehabilitasi</t>
  </si>
  <si>
    <t>Pasal 9.2 A&amp;PK Brownfield</t>
  </si>
  <si>
    <t>a. Surat Undangan Uji Komisioning
b. Berita Acara Uji Komisioning
c. Laporan Penyelesaian Uji Komisioning</t>
  </si>
  <si>
    <t>Pasal 9.3 A&amp;PK Brownfield</t>
  </si>
  <si>
    <t xml:space="preserve">Dokumen MC 100 </t>
  </si>
  <si>
    <t>Pasal 9.4 A&amp;PK Brownfield</t>
  </si>
  <si>
    <t xml:space="preserve">Dokumen Persyaratan Penyelesaian Pekerjaan </t>
  </si>
  <si>
    <t>Pasal 9.5 A&amp;PK Brownfield</t>
  </si>
  <si>
    <t>a. Surat Aset Terdahulu (Draft RDA) 
b. Berita Acara Survey Aset Terdahulu
c. Bukti Pemenuhan
d. Berita Acara Penyerahan Aset Terdahulu</t>
  </si>
  <si>
    <t>Ketersediaan Air Baku dan Pengurangan Kuantitas Air Baku</t>
  </si>
  <si>
    <t>Pasal 10.1 A&amp;PK Brownfield</t>
  </si>
  <si>
    <t>Pencatatan Data Kuantitas dan Kualitas Air Baku</t>
  </si>
  <si>
    <t>Pasal 10.4 A&amp;PK Brownfield</t>
  </si>
  <si>
    <t>Bukti Pembayaran Denda Kegagalan Kinerja atas Tidak Tercapainya Volume Minimum Air Minum Curah</t>
  </si>
  <si>
    <t>Bukti Pemenuhan Pencatatan data Kuantitas dan Kualitas Air Baku</t>
  </si>
  <si>
    <t>Persyaratan Tanggal Operasi Komersial</t>
  </si>
  <si>
    <t>Pasal 11.1 A&amp;PK Brownfield</t>
  </si>
  <si>
    <t>a. Dokumen Prosedur Akses Berwenang
b. Dokumen Rencana Program Pelatihan Personel
c. Pernyataan dari PT ABJ telah melakukan inspeksi
d. Bukti Jaminan Pengoperasian dan Pemeliharaan</t>
  </si>
  <si>
    <t>Keterlambatan TOK Karena Kegagalan atau Kelalaian PT ABJ</t>
  </si>
  <si>
    <t>Pasal 11.2 A&amp;PK Brownfield</t>
  </si>
  <si>
    <t>a. Bukti Pemenuhan Penyelesaian Pekerjaan (90 hari)
b. Bukti Pembayaran Denda atas Keterlambatan TOK</t>
  </si>
  <si>
    <t>Pasal 11.3 A&amp;PK Brownfield</t>
  </si>
  <si>
    <t>a. Bukti Pembayaran Tagihan Denda Keterlambatan TOK
b. Bukti Pembayaran bunga terhadap Denda Keterlambatan TOK</t>
  </si>
  <si>
    <t>Keterlambatan TOK Disebabkan PAM JAYA</t>
  </si>
  <si>
    <t>Pasal 11.4 A&amp;PK Brownfield</t>
  </si>
  <si>
    <t>Risalah Rapat Pembahasan Keterlambatan TOK</t>
  </si>
  <si>
    <t>Pasal 11.5 A&amp;PK Brownfield</t>
  </si>
  <si>
    <t>a. Bukti Pembayaran atas Tenaga Kerja Eksisting
b. Perjanjian Kerja atas Tenaga Kerja Eksisisting</t>
  </si>
  <si>
    <t>Pasal 11.6 A&amp;PK Brownfield</t>
  </si>
  <si>
    <t>Prosedur Pengoperasian dan Pemeliharaan (Lampiran 21 A&amp;PK Brownfield)</t>
  </si>
  <si>
    <t>Pengoperasian Fasilitas Produksi Eksisting</t>
  </si>
  <si>
    <t>Pasal 11.8 A&amp;PK Brownfield</t>
  </si>
  <si>
    <t>Laporan Pekerjaan Pengoperasian dan Pemeliharaan atas Fasilitas Produksi Eksisting</t>
  </si>
  <si>
    <t>Pasal 11.9 A&amp;PK Brownfield</t>
  </si>
  <si>
    <t>a. Jadwal Pemeliharaan
b. Surat Tanggapan atas usulan perubahan Jadwal Pemeliharaan</t>
  </si>
  <si>
    <t>Pasal 11.10 A&amp;PK Brownfield</t>
  </si>
  <si>
    <t>a. Surat Pemberitahuan Gangguan terhadap Layanan Fasilitas Eksisting
b. Pemberitahuan Verbal Gangguan terhadap Fasilitas Eksisting (apabila ada)</t>
  </si>
  <si>
    <t>Pasal 11.13 A&amp;PK Brownfield</t>
  </si>
  <si>
    <t>Dokumen Persetujuan</t>
  </si>
  <si>
    <t>Pasal 12.4 A&amp;PK Brownfield</t>
  </si>
  <si>
    <t>a. Dokumen Hasil Pengujian Kualitas Air Minum Curah
b. Dokumen Hasil Pengujian Kualitas Air Minum Curah oleh Pihak Independen</t>
  </si>
  <si>
    <t>Pasal 12.5 A&amp;PK Brownfield</t>
  </si>
  <si>
    <t>a. Surat Pemberitahuan Tentang Penyimpangan Kualitas Air Minum Curah
b. Dokumen Rencana Kerja terkait Pemenuhan Kualitas Air Minum Curah
c. Surat Pemberitahuan Tentang Perbaikan Kualitas Air Minum Curah</t>
  </si>
  <si>
    <t>Pasal 13.1 A&amp;PK Brownfield</t>
  </si>
  <si>
    <t>Berita Acara Pembacaan Peralatan Pengukuran Pertama Kali</t>
  </si>
  <si>
    <t>Pasal 13.2 A&amp;PK Brownfield</t>
  </si>
  <si>
    <t>a. Bukti Pemeliharaan Peralatan Pengukuran
b. Bukti Penyimpanan Laporan Pencatatan Peralatan Pengukuran</t>
  </si>
  <si>
    <t>Pasal 13.3 A&amp;PK Brownfield</t>
  </si>
  <si>
    <t>a. Bukti Perbaikan atas cacatnya Peralatan Pengukuran 
b. Berita Acara atau Risalah Rapat Kalibrasi Tambahan</t>
  </si>
  <si>
    <t>Pasal 13.5 A&amp;PK Brownfield</t>
  </si>
  <si>
    <t>Bukti Pembayaran Tagihan Air Minum Curah Yang Disesuaikan</t>
  </si>
  <si>
    <t>Biaya Yang Dapat Ditagihkan</t>
  </si>
  <si>
    <t>Pasal 14.2 A&amp;PK Brownfield</t>
  </si>
  <si>
    <t>Tagihan</t>
  </si>
  <si>
    <t>Pasal 14.3 A&amp;PK Brownfield</t>
  </si>
  <si>
    <t>Pasal 14.4 A&amp;PK Brownfield</t>
  </si>
  <si>
    <t>Bukti Pembayaran Kompensasi Realisasi Investasi Program Rehabilitasi</t>
  </si>
  <si>
    <t>Pasal 15.1 A&amp;PK Brownfield</t>
  </si>
  <si>
    <t>Tagihan dan Pajak-pajak</t>
  </si>
  <si>
    <t>Pasal 15.2 A&amp;PK Brownfield</t>
  </si>
  <si>
    <t xml:space="preserve">Tagihan Air Minum Curah </t>
  </si>
  <si>
    <t>Ketentuan Jaminan Pengoperasian dan Pemeliharaan</t>
  </si>
  <si>
    <t>Pasal 16.1 A&amp;PK Brownfield</t>
  </si>
  <si>
    <t>Bukti Jaminan Pengoperasian dan Pemeliharaan</t>
  </si>
  <si>
    <t>Pasal 16.2 A&amp;PK Brownfield</t>
  </si>
  <si>
    <t>Bukti Pembayaran Selisih Jaminan Pengoperasian dan Pemeliharaan</t>
  </si>
  <si>
    <t>Pasal 16.3 A&amp;PK Brownfield</t>
  </si>
  <si>
    <t>Surat Pemberitahuan atas Perubahan Kondisi Keuangan dari Bank Penerbit</t>
  </si>
  <si>
    <t>Pasal 17.1 A&amp;PK Brownfield</t>
  </si>
  <si>
    <t>Bukti Pembayaran Kompensasi atas Kegagalan Realisasi Investasi Pekerjaan Rehabilitasi</t>
  </si>
  <si>
    <t>Pasal 18.1 A&amp;PK Brownfield</t>
  </si>
  <si>
    <t xml:space="preserve">Bukti Pembayaran Polis Asuransi Yang Disyaratkan </t>
  </si>
  <si>
    <t>Pemberitahuan Klaim</t>
  </si>
  <si>
    <t>Pasal 18.5 A&amp;PK Brownfield</t>
  </si>
  <si>
    <t>Surat Pemberitahuan Klaim</t>
  </si>
  <si>
    <t>Pasal 18.7 A&amp;PK Brownfield</t>
  </si>
  <si>
    <t>Surat Pemberitahuan Hasil Penerimaan Klaim</t>
  </si>
  <si>
    <t>Pasal 18.8 A&amp;PK Brownfield</t>
  </si>
  <si>
    <t>a. Bukti Pembayaran Polis Asuransi Yang Disyaratkan dan Perpanjangannya
b. Salinan Tanda Terima Bukti Pembayaran Premi Tahunan</t>
  </si>
  <si>
    <t>Pasal 19.1 A&amp;PK Brownfield</t>
  </si>
  <si>
    <t>Dokumen Akses</t>
  </si>
  <si>
    <t>Pasal 19.2 A&amp;PK Brownfield</t>
  </si>
  <si>
    <t>Pasal 19.3 A&amp;PK Brownfield</t>
  </si>
  <si>
    <t>Pasal 21.2 A&amp;PK Brownfield</t>
  </si>
  <si>
    <t>Persiapan Penyerahan</t>
  </si>
  <si>
    <t>Pasal 23.1 A&amp;PK Brownfield</t>
  </si>
  <si>
    <t>a. Laporan Rencana Penyerahan atas Fasilitas Produksi Eksisting
b. Surat atau Risalah Rapat Pembahasan Persiapan Penyerahan dan Pengalihan Proyek
c. Dokumen Akses
d. Dokumen Jaminan Penyerahan</t>
  </si>
  <si>
    <t>Pasal 23.3 A&amp;PK Brownfield</t>
  </si>
  <si>
    <t>Bukti Pembayaran Penyerahan Fasilitas Produksi Eksisting</t>
  </si>
  <si>
    <t>Pasal 23.4 A&amp;PK Brownfield</t>
  </si>
  <si>
    <t>a. Berita Acara Kesepakatan Pengaturan Pengalihan dan Keamanan
b. Dokumen Persetujuan Tingkat Persediaan</t>
  </si>
  <si>
    <t>Kondisi Penyerahan dan Jaminan Penyerahan</t>
  </si>
  <si>
    <t>Pasal 23.5 A&amp;PK Brownfield</t>
  </si>
  <si>
    <t>a. Dokumen Kondisi Aset Saat Penyerahan
b. Bukti Jaminan Penyerahan</t>
  </si>
  <si>
    <t>Pasal 23.6 A&amp;PK Brownfield</t>
  </si>
  <si>
    <t>a. Laporan Kondisi Proyek
b. Surat Pemberitahuan Usulan Pekerjaan Pembaruan, Usulan Program Pembaruan dan Nilai Pembaruan
d. Laporan Survei Lapangan atas Aset Proyek
e. Surat Jadwal Perbaikan
f. Dokumen Akses Pihak Pertama
g. Berita Acara Penerimaan Kondisi Fasilitas</t>
  </si>
  <si>
    <t>Pasal 23.7 A&amp;PK Brownfield</t>
  </si>
  <si>
    <t>a. Dokumen Serah Terima Hak dan Kepemilikan Proyek
b. Laporan Kegiatan 
c. Desain Proyek, Berita Acara
d. Dokumen Garansi
e. Bukti Polis Asuransi
f. Bukti Pembayaran Asuransi
g. Dokumen Proyek</t>
  </si>
  <si>
    <t>Prosedur Pemulihan dan Pengakhiran karena Cidera Janji</t>
  </si>
  <si>
    <t>Pasal 25.4 A&amp;PK Brownfield</t>
  </si>
  <si>
    <t>a. Bukti Pemulihan Cidera Janji (90 hari) 
b. Risalah Rapat Pembahasan Cidera Janji
c. Bukti Pembayaran atas Pelaksanaan Hak-hak untuk Mengakhiri Perjanjian
d. Surat Pemberitahuan Cidera Janji PAM JAYA</t>
  </si>
  <si>
    <t>Pasal 25.5 A&amp;PK Brownfield</t>
  </si>
  <si>
    <t>Pasal 26.2 A&amp;PK Brownfield</t>
  </si>
  <si>
    <t>Sub-Kontrak</t>
  </si>
  <si>
    <t>Pasal 27.1 A&amp;PK Brownfield</t>
  </si>
  <si>
    <t>Pasal 27.3 A&amp;PK Brownfield</t>
  </si>
  <si>
    <t>Pasal 27.5 A&amp;PK Brownfield</t>
  </si>
  <si>
    <t>Pasal 27.6 A&amp;PK Brownfield</t>
  </si>
  <si>
    <t>Pasal 27.7 A&amp;PK Browlfield</t>
  </si>
  <si>
    <t>Bukti Penyimpanan Dokumen Teknis</t>
  </si>
  <si>
    <t xml:space="preserve">Pemberitahuan </t>
  </si>
  <si>
    <t>Pasal 28.1 A&amp;PK Brownfield</t>
  </si>
  <si>
    <t>Surat Pemberitahuan Perubahan Alamat</t>
  </si>
  <si>
    <t>Surat Permohonan Modifikasi</t>
  </si>
  <si>
    <t>Score</t>
  </si>
  <si>
    <t>Evidence</t>
  </si>
  <si>
    <t>Not Applicable</t>
  </si>
  <si>
    <t>Compliance</t>
  </si>
  <si>
    <t>PGO</t>
  </si>
  <si>
    <t>Surat ABJ No xxxxx</t>
  </si>
  <si>
    <t>Disampaikan pada surat ABJ xxxx</t>
  </si>
  <si>
    <t>PMO B3 Hulu</t>
  </si>
  <si>
    <t>MoM terlampir</t>
  </si>
  <si>
    <t>Pending PAM JAYA</t>
  </si>
  <si>
    <t>Pending kesepakatan alur di PAM JAYA</t>
  </si>
  <si>
    <t>PAM JAYA telah mengirimkan surat permintaan persetujuan dan izin pada surat PAM JAYA No. 1313/III/2026 perihal teguran atas pelaksanaan  pemenuhan perizinan proyek bundling
&gt; ABJ menyampaikan laporan terhadap perizinan sebagaimana pada surat ABJ xxxxx</t>
  </si>
  <si>
    <t>Telah disampaikan ABJ pada surat xxxx</t>
  </si>
  <si>
    <t>ABJ menyampaikan pada surat xxxxx</t>
  </si>
  <si>
    <t>ABJ menyampaikan DPPP via CDE BIM untuk project xxxxx</t>
  </si>
  <si>
    <t>ABJ menyampaikan pada</t>
  </si>
  <si>
    <t>Permit; Legal</t>
  </si>
  <si>
    <t>a. Draft dengan KAI; KKDM; HK; Jasa Marga
b. Laporan monitoring permit ABJ &amp; PAM JAYA</t>
  </si>
  <si>
    <t>ABJ telah menyampaikan pada surat pengecualian denda kinerja kualitas</t>
  </si>
  <si>
    <t>Alamat terdaftar ABJ di NIB masih setiabudi xxxxx</t>
  </si>
  <si>
    <t>ABJ mengirimkan hasil inspeksi K3 secara berkala pada Laporan Bulanan/Surat Menyurat</t>
  </si>
  <si>
    <t>Sudah ada untuk program TOK April 2026</t>
  </si>
  <si>
    <t>Link Evidence</t>
  </si>
  <si>
    <t>Tindak Lanjut</t>
  </si>
  <si>
    <t>ABJ perlu menyampaikan ekuitas untuk tahun ke-4 (2026)</t>
  </si>
  <si>
    <t>ABJ menyampaikan ekuitas untuk tahun pertama, kedua dan ketiga</t>
  </si>
  <si>
    <t>Legal</t>
  </si>
  <si>
    <t>Compliance; HC</t>
  </si>
  <si>
    <t>ABJ perlu melakukan pembaruan terhadap TKDN Tahun 2025</t>
  </si>
  <si>
    <t>Planning; Compliance</t>
  </si>
  <si>
    <t>ABJ26-0044 Tanggapan atas Surat PAM JAYA No. e-70215-PS.00.04 Perihal Permintaan Bukti Penyimpanan Dokumen pada Januari 2026</t>
  </si>
  <si>
    <t>ABJ perlu pembaruan surat ke PAM JAYA terhadap bukti penyimpanan dokumen proyek</t>
  </si>
  <si>
    <t>ABJ telah menyampaikan dokumen terhadap peristiwa modifikasi pada proyek BF dan GF</t>
  </si>
  <si>
    <t>PMO; Planning</t>
  </si>
  <si>
    <t>Memastikan ABJ menyampaikan perisiwa modifikasi sesuai dengan alur dan SLA yang telah diatur pada PKS Induk</t>
  </si>
  <si>
    <t>a. ABJ wajib untuk melakukan evaluasi atas nilai realisasi Pekerjaan terhadap belanja modal (capital expenditures) secara berkala setiap 6 (enam) bulan sekali -&gt; ABJ menyampaikan progress terhadap CAPEX setiap bulannya pada laporan bulanan dan/atau kuartal;
b. ABJ mengirim surat permohonan substitusi pada proyek tertentu</t>
  </si>
  <si>
    <t>a. ABJ mengirim surat permohonan substitusi pada proyek tertentu
b. BA Substitusi pending di PAM JAYA -&gt; menunggu rekomendasi KPI</t>
  </si>
  <si>
    <t>PMO/Planning</t>
  </si>
  <si>
    <t>ABJ sudah mengirimkan laporan TKDN tahun 2023/4</t>
  </si>
  <si>
    <t>ABJ menanggapi atas pengawasan PAM JAYA melalui surat</t>
  </si>
  <si>
    <t>Memastikan bahwa ABJ selalu menanggapi terkait pengawasan/inspeksi proyek dan/atau IPA yang dilaporkan ke PAM JAYA</t>
  </si>
  <si>
    <t>a. Memastikan ABJ mengirimkan proposal substitusi pada 31 Januari atau tanggal 31 Juli
b. Follow up terhadap BA Substitusi</t>
  </si>
  <si>
    <t>ABJ submit padaa xxxx</t>
  </si>
  <si>
    <t>Disampaikan ABJ pada Juni 2026</t>
  </si>
  <si>
    <t>Telah disampaikan ABJ pada surat ABJ26-0636</t>
  </si>
  <si>
    <t>a. TOK April 2025 (Done)
b. TOK Oktober 2025 (Draft)
c. TOK April 2026 (Draft)</t>
  </si>
  <si>
    <t>Follow up dan finalisasi kepada PAM JAYA terhadap BA Pengalihan Pengaturan dan Keamanan</t>
  </si>
  <si>
    <t>Follow up dan finalisasi terhadap kontrak utilitas</t>
  </si>
  <si>
    <t>ABJ menyampaikan pada laporan bulanan</t>
  </si>
  <si>
    <t>a. TOK April 2025 (Done 113/115)
b. TOK Oktober 2025 (Done 0/73)
c. TOK April 2026 (Done 0/62)</t>
  </si>
  <si>
    <t>Finalisasi BAPP untuk program Hulu dengan PAM JAYA</t>
  </si>
  <si>
    <t>DPPP sudah ABJ submit ke KPI dan PAM JAYA -&gt; Posisi saat ini dokumen di PAM JAYA</t>
  </si>
  <si>
    <t>a. TOK April 2025 : BAST Done (107 Program)
b. TOK Oktober 2025 : -
c. TOK April 2026 : -
d. NC : -</t>
  </si>
  <si>
    <t>Done :
(1) BA Metode Uji Komisoning
(2) BAPL</t>
  </si>
  <si>
    <t>Pending : 
(1) BA Alur Buaran 3 Hulu
(2) BA Uji Komisioning
(3) BA TOK B3 Hulu
(4) BAPP
(5) BAST</t>
  </si>
  <si>
    <t>Compliane, Legal, PMO B3 Hulu</t>
  </si>
  <si>
    <t>Compliance; Legal; PGO</t>
  </si>
  <si>
    <t>Pending :
(1) BAPP TOK Apr25 (6); Okt25 (73); Apr26 (62)
(2) BAST</t>
  </si>
  <si>
    <t>https://moyaasia1-my.sharepoint.com/:f:/g/personal/it_support_moyaasia_com/IgAyZ9T4M6JgQZQ2vSiwJT8MAUlk24JW6_BbMT0sxeDqock?e=BQyeuC</t>
  </si>
  <si>
    <t>https://moyaasia1-my.sharepoint.com/:f:/g/personal/it_support_moyaasia_com/IgBcLlVa0VmrRoPni0FDrSEYAa0BR9dAyNrUSWVspUMjOb8?e=XJnqnq</t>
  </si>
  <si>
    <t>https://moyaasia1-my.sharepoint.com/:f:/g/personal/it_support_moyaasia_com/IgBc5pJmc7i2S4QGpzyAzTmiATQt3hIlGqSEDI604vWaCkQ?e=EoNk4m</t>
  </si>
  <si>
    <t>https://moyaasia1-my.sharepoint.com/:f:/g/personal/it_support_moyaasia_com/IgANNYX-LuM1QYx60XbnAWS1AQlUerydNAi5q8R76IAV1Yc?e=nDLrdB</t>
  </si>
  <si>
    <t>a. Hak akses kepada KPI SI disampaikan ABJ pada ABJ25 0288
b. KPI SI sudah mengembalikan hak akses lokasi sesuai dengan surat ABJ</t>
  </si>
  <si>
    <t>Perlu konfirm</t>
  </si>
  <si>
    <t>Tidak ada pencemaran? Perlu konfirm</t>
  </si>
  <si>
    <t>Perlu konfirm HSE?</t>
  </si>
  <si>
    <t>On Going kesepakatan kompensasi program rehabilitasi dengan PAM JAYA</t>
  </si>
  <si>
    <t>(i) TOK April 2025 : (a) Pemenuhan penyelesaian pekerjaan 90 hari dibuktikan dengan BAPP (b) pembayaran denda terdapat pada tagihan KBA Surat ABJ No xxxxx
(ii) TOK Oktober 2025 : (a) Pemenuhan penyelesaian pekerjaan 90 hari dibuktikan dengan surat penyampaian DPPP via CDE BIM surat ABJ No xxxxxx (b) not yet
(iii) TOK April 2026 : (a) Pemenuhan penyelesaian pekerjaan 90 hari dibuktikan dengan surat penyampaian DPPP via CDE BIM surat ABJ26 0794 (b) not yet</t>
  </si>
  <si>
    <t>90 hari TOK Brownfield? Perlu konfirm</t>
  </si>
  <si>
    <t>(i) TOK April 2025 : Bukti pembayaran denda TOK disampaikan pada tagihan TOK April 2025 (Surat ABJ26 0525 - Tanggapan Surat PAM JAYA Nomor 1567 Mengenai Realisasi Kontrak Berbasis Angsuran (KBA))
(ii) TOK Oktober 2025 : not yet
(iii) TOK April 2026 : not yet</t>
  </si>
  <si>
    <t>Tidak ada keterlambatan TOK untuk proyek brownfield? Perlu konfirm</t>
  </si>
  <si>
    <t>https://moyaasia1-my.sharepoint.com/:f:/g/personal/it_support_moyaasia_com/IgBARC-rB5VTS7gVYNKs2EduAVwOSKSmRJq_QGL5IUADnCw?e=QEQiBk</t>
  </si>
  <si>
    <t>https://moyaasia1-my.sharepoint.com/:f:/g/personal/it_support_moyaasia_com/IgCeIiI4TqqJR7PFrALpA3RuAYRofor5fgDXgdc2P9_xmxA?e=pZZQrW</t>
  </si>
  <si>
    <t>https://moyaasia1-my.sharepoint.com/:f:/g/personal/it_support_moyaasia_com/IgBwjBwAC7F6Rre2RgzT6cN2AZNU9uZadUzuG2CCPlgGU1c?e=wRpKlI</t>
  </si>
  <si>
    <t>https://moyaasia1-my.sharepoint.com/:f:/g/personal/it_support_moyaasia_com/IgBDSqOAebUdR7LPEZsJUiUCAXOGyTmxBRuEHIDyENp89fY?e=KorX7a</t>
  </si>
  <si>
    <t>https://moyaasia1-my.sharepoint.com/:f:/g/personal/it_support_moyaasia_com/IgDagIg8mPvNTJJtTmpTC1fYARjR6RuWWF543RpkDq3q924?e=3K1Dc6</t>
  </si>
  <si>
    <t>https://moyaasia1-my.sharepoint.com/:f:/g/personal/it_support_moyaasia_com/IgCUL7ICw6-SSJS6YpkwrTHRAX3QmSJG-H-bnC16Of4VMGo?e=QlBJN8</t>
  </si>
  <si>
    <t>https://moyaasia1-my.sharepoint.com/:f:/g/personal/it_support_moyaasia_com/IgCwoA4YqbXsR7cexMTPlUeZAeGsz3rwf8HIYefe1ThPVDA?e=GTQHJ5</t>
  </si>
  <si>
    <t>https://moyaasia1-my.sharepoint.com/:f:/g/personal/it_support_moyaasia_com/IgC34LED0885S4gjeBuHw4cSAVL9GdB9od9H8zaYlvhN88o?e=dKdGwI</t>
  </si>
  <si>
    <t>https://moyaasia1-my.sharepoint.com/:f:/g/personal/it_support_moyaasia_com/IgB7tbGqePZERKvgoauPbUy_AfOSuqYuPNoTrdREP23OGWs?e=LYQVvV</t>
  </si>
  <si>
    <t>https://moyaasia1-my.sharepoint.com/:f:/g/personal/it_support_moyaasia_com/IgC9cig6ZhOZSYE20LYJgQcBAbz2AIKpWSCnVqfMHuochNs?e=AU54Bx</t>
  </si>
  <si>
    <t>https://moyaasia1-my.sharepoint.com/:f:/g/personal/it_support_moyaasia_com/IgC2DnM01lkoTpLnb5AqEh8pAWDSr7flwPaaoCFjHzZEzsg?e=dswycU</t>
  </si>
  <si>
    <t>https://moyaasia1-my.sharepoint.com/:f:/g/personal/it_support_moyaasia_com/IgCxxrMADAnHTK-EMncr1ordATfWYVBcGOGt1UZPhr_iFUg?e=qx3Jdw</t>
  </si>
  <si>
    <t>https://moyaasia1-my.sharepoint.com/:f:/g/personal/it_support_moyaasia_com/IgAHRKY1Y09tTJHsnWyl3fIJARzhaRAgdtwjc1uzM4i27yA?e=E7KWdp</t>
  </si>
  <si>
    <t>https://moyaasia1-my.sharepoint.com/:f:/g/personal/it_support_moyaasia_com/IgAdBMWFX2leTqa-SdvwJvwRASHmh1RrNqOFUeDTIZOA8x0?e=HLcrlK</t>
  </si>
  <si>
    <t>https://moyaasia1-my.sharepoint.com/:f:/g/personal/it_support_moyaasia_com/IgB94WGgX1EqRKt0oRBoK_qIAbKFjz_OvDfnt0cMDL737Q8?e=TWnHYP</t>
  </si>
  <si>
    <t>Pada dokumen proyek hanya ada perubahan pada point d. Perjanjian KPI</t>
  </si>
  <si>
    <t>ABJ sudah menyampaikan hak akses kepada PAM JAYA pada surat ABJ25-0293 (Apr-2025) -&gt; 163 card
PAM JAYA telah mengirimkan surat pengajuan Akses Pihak Pertama melalui surat PAM JAYA No. e-78852/PS.0.04 tertanggal 29 April 2026 -&gt; 152 card</t>
  </si>
  <si>
    <t>ABJ perlu menyampaikan dan pembaruan hak akses kepada KPI SCI</t>
  </si>
  <si>
    <t>ABJ sudah menyampaikan pada surat ABJ26-0044 Tanggapan atas Surat PAM JAYA No. e-70215-PS.00.04 Perihal Permintaan Bukti Penyimpanan Dokumen pada Januari 2026</t>
  </si>
  <si>
    <t>Ada dokumen quality mutu</t>
  </si>
  <si>
    <t>On going pendataan -&gt; Juli 2026 &amp; taging oleh ABJ -&gt; Target Agustus 2026</t>
  </si>
  <si>
    <t>BA Air Curah &amp; Air Baku setiap tanggal 1 pukul 08.00</t>
  </si>
  <si>
    <t>Sudah disimpan dalam share folder &amp; BIM</t>
  </si>
  <si>
    <t>dimuat dalam Laporan bulanan dan atau kuartal</t>
  </si>
  <si>
    <t>Dibuktikan dalam surat menyurat pemasangan SL terpasang</t>
  </si>
  <si>
    <t>Dibuktikan dengan dokumen kontrak vendor</t>
  </si>
  <si>
    <t>Hingga saat ini tidak ada perubahan status terhadap bank penerbit</t>
  </si>
  <si>
    <t>Hingga saat ini belum ada klaim asuransi &gt; 15 M</t>
  </si>
  <si>
    <t>Hingga saat ini ABJ belum menerima klaim asuransi</t>
  </si>
  <si>
    <t>Tidak ada perubahan alamat</t>
  </si>
  <si>
    <t>Induk</t>
  </si>
  <si>
    <t>Greenfield</t>
  </si>
  <si>
    <t>Brownfield</t>
  </si>
  <si>
    <t>AVG</t>
  </si>
  <si>
    <t>Compliance; Finance; Legal</t>
  </si>
  <si>
    <t>Legal; Finance</t>
  </si>
  <si>
    <t>HSE</t>
  </si>
  <si>
    <t>Finance</t>
  </si>
  <si>
    <t>Planning</t>
  </si>
  <si>
    <t>PMO</t>
  </si>
  <si>
    <t>PMO; PGO</t>
  </si>
  <si>
    <t>Tidak ada perbaikan/kerusakan selama pekerjaan konstruksi</t>
  </si>
  <si>
    <t>Permit</t>
  </si>
  <si>
    <t>Compliance; PGO</t>
  </si>
  <si>
    <t>Compliance; Final</t>
  </si>
  <si>
    <t>Compliance; PMO</t>
  </si>
  <si>
    <t>Program rehabilitasi untuk Buaran 3 Hulu baru dimulai pada tahun 2027</t>
  </si>
  <si>
    <t>PMO Cyclical</t>
  </si>
  <si>
    <t>Compliance; Legal</t>
  </si>
  <si>
    <t>SOP pengoperasian B3 Hulu</t>
  </si>
  <si>
    <t>ABJ bersurat agar PAM JAYA mengembalikan hak akses lama sebanyak 163 card -&gt; yang selanjutnya akan diperbarui dengan kartu terbaru</t>
  </si>
  <si>
    <r>
      <t>Dibuktikan dengan dokumen rencana mutu (</t>
    </r>
    <r>
      <rPr>
        <i/>
        <sz val="11"/>
        <color theme="1"/>
        <rFont val="Aptos Narrow"/>
        <scheme val="minor"/>
      </rPr>
      <t>quality plan</t>
    </r>
    <r>
      <rPr>
        <sz val="11"/>
        <color theme="1"/>
        <rFont val="Aptos Narrow"/>
        <scheme val="minor"/>
      </rPr>
      <t>) -&gt; dengan catatan ABJ belum konsisten untuk keseluruhan program terdapat dokumen rencana mutu</t>
    </r>
  </si>
  <si>
    <t>Bukti Penyimpanan Dokumen Proyek</t>
  </si>
  <si>
    <t xml:space="preserve">Bukti Penyimpanan Dokumen Proyek </t>
  </si>
  <si>
    <t>Pelaksanaan seluruh ruang lingkup Proyek sesuai PKS Induk, Brownfield, dan Greenfield</t>
  </si>
  <si>
    <t>Pasal 4</t>
  </si>
  <si>
    <t>Pelaksanaan hak dan kewajiban ABJ sebagai Badan Usaha Pelaksana Proyek</t>
  </si>
  <si>
    <t>Pasal 5</t>
  </si>
  <si>
    <t>Matriks hak dan kewajiban; compliance checklist; laporan pelaksanaan kewajiban; korespondensi dengan PAM JAYA</t>
  </si>
  <si>
    <t>Pelaksanaan Proyek sesuai Model Keuangan yang disepakati</t>
  </si>
  <si>
    <t>Pasal 6 dan Lampiran 4</t>
  </si>
  <si>
    <t>Model keuangan terkini; laporan realisasi investasi; laporan CAPEX/OPEX; rekonsiliasi rencana dan aktual; bukti pembayaran</t>
  </si>
  <si>
    <t>Melaksanakan Pekerjaan Rehabilitasi Aset Eksisting</t>
  </si>
  <si>
    <t>Pasal 7.1 dan Pasal 7.2</t>
  </si>
  <si>
    <t>Program Rehabilitasi; Desain Akhir; kontrak pekerjaan; laporan progres; MC-0/MC-100; hasil pengujian; BAST/BAPP</t>
  </si>
  <si>
    <t>Pengoperasian dan pemeliharaan Aset Eksisting sesuai hukum, instruksi pabrikan, praktik industri, dan prosedur O&amp;M</t>
  </si>
  <si>
    <t>SOP operasi dan pemeliharaan; manual pabrikan; logbook operasi; preventive maintenance record; corrective maintenance record</t>
  </si>
  <si>
    <t>Pasal 7.3</t>
  </si>
  <si>
    <t>Pasal 7.4</t>
  </si>
  <si>
    <t>Jadwal pemeliharaan tahunan/bulanan; work order; checklist pemeliharaan</t>
  </si>
  <si>
    <t>Memenuhi Spesifikasi Desain dan Teknis PKS Induk</t>
  </si>
  <si>
    <t>Pasal 8.2 huruf (b) jo. Lampiran 1</t>
  </si>
  <si>
    <t>Dokumen Desain Akhir; technical datasheet; sertifikat material; hasil factory acceptance test; site acceptance test; hasil uji laboratorium</t>
  </si>
  <si>
    <t>Menyusun Jadwal Pemeliharaan Aset Baru</t>
  </si>
  <si>
    <t>Pasal 8.4</t>
  </si>
  <si>
    <t>Jadwal maintenance</t>
  </si>
  <si>
    <t>Menyediakan dan menjaga keberlakuan Jaminan Pelaksanaan</t>
  </si>
  <si>
    <t>Pasal 9 jo. Perjanjian Definitif</t>
  </si>
  <si>
    <t>Bank garansi/jaminan pelaksanaan; bukti perpanjangan; surat penerimaan PAM JAYA; register masa berlaku jaminan</t>
  </si>
  <si>
    <t>Project execution plan; master schedule; laporan progres; berita acara pelaksanaan; dokumentasi pekerjaan</t>
  </si>
  <si>
    <t>Master schedule terdapat pada Lampiran PKS Greenfield</t>
  </si>
  <si>
    <t>Database akan di update secara berkala</t>
  </si>
  <si>
    <t>Laporan realisasi investasi disampaikan berkala pada laporan bulanan dan atau kuartal</t>
  </si>
  <si>
    <t>Done (berkala)</t>
  </si>
  <si>
    <t>Planning; PMO</t>
  </si>
  <si>
    <t>Planning; PGO</t>
  </si>
  <si>
    <t>Compliance; Finance</t>
  </si>
  <si>
    <t>Planning; PMO; PGO</t>
  </si>
  <si>
    <t>Produksi; QMS</t>
  </si>
  <si>
    <t>Produksi</t>
  </si>
  <si>
    <t>HSE; Produksi</t>
  </si>
  <si>
    <t>Tenggat Waktu</t>
  </si>
  <si>
    <t>Kategori</t>
  </si>
  <si>
    <t>Pasal 2.3, Pasal 21.4 dan Lampiran 2</t>
  </si>
  <si>
    <t>Memperoleh dan menjaga keberlakuan seluruh persetujuan serta perizinan yang diperlukan untuk tahap konstruksi dan operasi.</t>
  </si>
  <si>
    <t>Perencanaan, Desain &amp; Perizinan</t>
  </si>
  <si>
    <t>Persetujuan lingkungan; AMDAL/UKL-UPL; izin galian; izin perlintasan; PBG; KKPR/RDTR; izin ketenagakerjaan dan K3; izin pembuangan limbah.</t>
  </si>
  <si>
    <t>Keuangan, Pajak &amp; Asuransi</t>
  </si>
  <si>
    <t>HSE &amp; Lingkungan</t>
  </si>
  <si>
    <t>Keselamatan dan Keamanan</t>
  </si>
  <si>
    <t>Menjaga keamanan dan keselamatan Lokasi, perimeter, pekerja, pengunjung dan masyarakat selama pelaksanaan Proyek.</t>
  </si>
  <si>
    <t>Pasal 8.7, 8.8, 9.1 dan 13.3</t>
  </si>
  <si>
    <t>Sepanjang pelaksanaan konstruksi, operasi dan pemeliharaan.</t>
  </si>
  <si>
    <t>Pasal 8.8, 8.10, 9.1 dan 14.6</t>
  </si>
  <si>
    <t>Meminimalkan gangguan kepada masyarakat, lalu lintas, utilitas, pelanggan dan kegiatan di sekitar Lokasi.</t>
  </si>
  <si>
    <t>Traffic management plan; public communication plan; permit to work; pengamanan galian; complaint register.</t>
  </si>
  <si>
    <t>Melaksanakan Pekerjaan Konstruksi sesuai Desain Akhir, spesifikasi teknis, Program Konstruksi, perizinan, standar mutu dan peraturan.</t>
  </si>
  <si>
    <t>Pasal 9.1, 9.4 dan 21.4</t>
  </si>
  <si>
    <t>Approved drawing; metode kerja; izin kerja; laporan progres; ITP; checklist inspeksi; material approval.</t>
  </si>
  <si>
    <t>Konstruksi &amp; QA/QC</t>
  </si>
  <si>
    <t>Mematuhi instruksi penghentian atau penangguhan pekerjaan dan melakukan tindakan koreksi sebelum pekerjaan dilanjutkan.</t>
  </si>
  <si>
    <t>Pasal 9.4 dan 13.5</t>
  </si>
  <si>
    <t>Stop-work instruction; NCR; corrective action; laporan perbaikan; surat izin melanjutkan pekerjaan.</t>
  </si>
  <si>
    <t>Mengendalikan pencemaran dan dampak lingkungan dari konstruksi, operasi, pemeliharaan, start-up dan commissioning.</t>
  </si>
  <si>
    <t>Pasal 10.1 huruf (j), 14.8 dan 14.9</t>
  </si>
  <si>
    <t>Environmental Management Plan; laporan pemantauan lingkungan; hasil pengujian; laporan insiden; corrective action.</t>
  </si>
  <si>
    <t>Melakukan pelatihan, knowledge transfer, shadow operation dan pendampingan kepada personel PAM JAYA.</t>
  </si>
  <si>
    <t>Pasal 11.2, 14.3 dan 29.2</t>
  </si>
  <si>
    <t>Operasi &amp; Pemeliharaan</t>
  </si>
  <si>
    <t>Pasal 11.1, 11.3 dan 11.5</t>
  </si>
  <si>
    <t>Laporan Tertulis Penyerahan Fasilitas Distribusi Baru; BAST</t>
  </si>
  <si>
    <t>Serah Terima &amp; Pengakhiran</t>
  </si>
  <si>
    <t>Mengambil, mencatat dan memonitor kuantitas serta kualitas Air Baku sesuai izin dan Titik Pengambilan.</t>
  </si>
  <si>
    <t>Pasal 12.1 sampai 12.3 dan Lampiran 15</t>
  </si>
  <si>
    <t>Data flow meter; SCADA; hasil laboratorium; BA sampling; laporan kuantitas dan kualitas Air Baku.</t>
  </si>
  <si>
    <t>Menyusun, memperbarui dan melaksanakan Program Rehabilitasi beserta Desain Akhir Pekerjaan Rehabilitasi.</t>
  </si>
  <si>
    <t>Pasal 13.1, 13.2 dan 13.3; Lampiran 27 dan 29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</si>
</sst>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7" formatCode="[$-13809]d\ mmm\ yyyy;@"/>
  </numFmts>
  <fonts count="37">
    <font>
      <sz val="11"/>
      <color theme="1"/>
      <name val="Aptos Narrow"/>
      <scheme val="minor"/>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sz val="11"/>
      <color rgb="FF000000"/>
      <name val="Aptos Narrow"/>
      <family val="2"/>
    </font>
    <font>
      <sz val="11"/>
      <color rgb="FF000000"/>
      <name val="Aptos Narrow"/>
      <family val="2"/>
      <scheme val="minor"/>
    </font>
    <font>
      <sz val="11"/>
      <color rgb="FF000000"/>
      <name val="Arial"/>
      <family val="2"/>
    </font>
    <font>
      <sz val="11"/>
      <color theme="1"/>
      <name val="Aptos Narrow"/>
      <family val="2"/>
    </font>
    <font>
      <u/>
      <sz val="11"/>
      <color theme="10"/>
      <name val="Aptos Narrow"/>
      <family val="2"/>
      <scheme val="minor"/>
    </font>
    <font>
      <i/>
      <sz val="11"/>
      <color rgb="FF000000"/>
      <name val="Aptos Narrow"/>
      <family val="2"/>
      <scheme val="minor"/>
    </font>
    <font>
      <u/>
      <sz val="11"/>
      <color rgb="FF0070C0"/>
      <name val="Aptos Narrow"/>
      <family val="2"/>
      <scheme val="minor"/>
    </font>
    <font>
      <sz val="11"/>
      <color rgb="FF0070C0"/>
      <name val="Aptos Narrow"/>
      <family val="2"/>
      <scheme val="minor"/>
    </font>
    <font>
      <u/>
      <sz val="11"/>
      <color rgb="FF0000FF"/>
      <name val="Aptos Narrow"/>
      <family val="2"/>
      <scheme val="minor"/>
    </font>
    <font>
      <sz val="11"/>
      <color rgb="FF0000FF"/>
      <name val="Aptos Narrow"/>
      <family val="2"/>
      <scheme val="minor"/>
    </font>
    <font>
      <u/>
      <sz val="11"/>
      <color theme="10"/>
      <name val="Aptos Narrow"/>
      <family val="2"/>
      <scheme val="minor"/>
    </font>
    <font>
      <b/>
      <sz val="11"/>
      <color theme="0"/>
      <name val="Aptos Narrow"/>
      <family val="2"/>
      <scheme val="minor"/>
    </font>
    <font>
      <sz val="8"/>
      <name val="Aptos Narrow"/>
      <family val="2"/>
      <scheme val="minor"/>
    </font>
    <font>
      <b/>
      <sz val="11"/>
      <color rgb="FFFFFFFF"/>
      <name val="Arial"/>
      <family val="2"/>
    </font>
    <font>
      <b/>
      <sz val="11"/>
      <color theme="0"/>
      <name val="Arial"/>
      <family val="2"/>
    </font>
    <font>
      <sz val="11"/>
      <color theme="1"/>
      <name val="Aptos Narrow"/>
      <scheme val="minor"/>
    </font>
    <font>
      <sz val="11"/>
      <name val="Aptos Narrow"/>
      <scheme val="minor"/>
    </font>
    <font>
      <sz val="11"/>
      <color theme="0"/>
      <name val="Aptos Narrow"/>
      <scheme val="minor"/>
    </font>
    <font>
      <b/>
      <i/>
      <sz val="11"/>
      <color theme="1"/>
      <name val="Aptos Narrow"/>
      <scheme val="minor"/>
    </font>
    <font>
      <sz val="11"/>
      <color rgb="FFFF0000"/>
      <name val="Aptos Narrow"/>
      <scheme val="minor"/>
    </font>
    <font>
      <sz val="11"/>
      <color rgb="FFC00000"/>
      <name val="Aptos Narrow"/>
      <scheme val="minor"/>
    </font>
    <font>
      <u/>
      <sz val="11"/>
      <color rgb="FFC00000"/>
      <name val="Aptos Narrow"/>
      <scheme val="minor"/>
    </font>
    <font>
      <i/>
      <sz val="11"/>
      <color theme="1"/>
      <name val="Aptos Narrow"/>
      <scheme val="minor"/>
    </font>
    <font>
      <sz val="11"/>
      <color rgb="FF000000"/>
      <name val="Aptos Narrow"/>
      <scheme val="minor"/>
    </font>
    <font>
      <u/>
      <sz val="11"/>
      <color rgb="FF0070C0"/>
      <name val="Aptos Narrow"/>
      <scheme val="minor"/>
    </font>
    <font>
      <u/>
      <sz val="11"/>
      <color theme="10"/>
      <name val="Aptos Narrow"/>
      <scheme val="minor"/>
    </font>
    <font>
      <sz val="11"/>
      <color rgb="FF0000FF"/>
      <name val="Aptos Narrow"/>
      <scheme val="minor"/>
    </font>
  </fonts>
  <fills count="4">
    <fill>
      <patternFill patternType="none"/>
    </fill>
    <fill>
      <patternFill patternType="gray125"/>
    </fill>
    <fill>
      <patternFill patternType="solid">
        <fgColor rgb="FFFFFFFF"/>
        <bgColor rgb="FFFFFFFF"/>
      </patternFill>
    </fill>
    <fill>
      <patternFill patternType="solid">
        <fgColor theme="5" tint="0.79998168889431442"/>
        <bgColor indexed="64"/>
      </patternFill>
    </fill>
  </fills>
  <borders count="14">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
      <left/>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bottom/>
      <diagonal/>
    </border>
    <border>
      <left style="thin">
        <color rgb="FF000000"/>
      </left>
      <right style="thin">
        <color indexed="64"/>
      </right>
      <top style="thin">
        <color indexed="64"/>
      </top>
      <bottom style="thin">
        <color indexed="64"/>
      </bottom>
      <diagonal/>
    </border>
  </borders>
  <cellStyleXfs count="4">
    <xf numFmtId="0" fontId="0" fillId="0" borderId="0"/>
    <xf numFmtId="0" fontId="14" fillId="0" borderId="0" applyNumberFormat="0" applyFill="0" applyBorder="0" applyAlignment="0" applyProtection="0"/>
    <xf numFmtId="0" fontId="20" fillId="0" borderId="0" applyNumberFormat="0" applyFill="0" applyBorder="0" applyAlignment="0" applyProtection="0"/>
    <xf numFmtId="9" fontId="25" fillId="0" borderId="0" applyFont="0" applyFill="0" applyBorder="0" applyAlignment="0" applyProtection="0"/>
  </cellStyleXfs>
  <cellXfs count="214">
    <xf numFmtId="0" fontId="0" fillId="0" borderId="0" xfId="0"/>
    <xf numFmtId="0" fontId="10" fillId="0" borderId="0" xfId="0" applyFont="1" applyAlignment="1">
      <alignment horizontal="center" vertical="top"/>
    </xf>
    <xf numFmtId="0" fontId="11" fillId="0" borderId="0" xfId="0" applyFont="1"/>
    <xf numFmtId="0" fontId="12" fillId="0" borderId="0" xfId="0" applyFont="1" applyAlignment="1">
      <alignment horizontal="center" vertical="top"/>
    </xf>
    <xf numFmtId="0" fontId="11" fillId="0" borderId="0" xfId="0" applyFont="1" applyAlignment="1">
      <alignment horizontal="center" vertical="top"/>
    </xf>
    <xf numFmtId="0" fontId="11" fillId="0" borderId="0" xfId="0" applyFont="1" applyAlignment="1">
      <alignment vertical="top" wrapText="1"/>
    </xf>
    <xf numFmtId="0" fontId="0" fillId="0" borderId="0" xfId="0" applyAlignment="1">
      <alignment vertical="top" wrapText="1"/>
    </xf>
    <xf numFmtId="0" fontId="10" fillId="0" borderId="0" xfId="0" applyFont="1" applyAlignment="1">
      <alignment horizontal="center" vertical="top" wrapText="1"/>
    </xf>
    <xf numFmtId="0" fontId="11" fillId="0" borderId="0" xfId="0" applyFont="1" applyAlignment="1">
      <alignment horizontal="center" vertical="top" wrapText="1"/>
    </xf>
    <xf numFmtId="0" fontId="0" fillId="0" borderId="0" xfId="0" applyAlignment="1">
      <alignment vertical="top"/>
    </xf>
    <xf numFmtId="0" fontId="0" fillId="0" borderId="0" xfId="0" applyAlignment="1">
      <alignment horizontal="center" vertical="top"/>
    </xf>
    <xf numFmtId="0" fontId="0" fillId="0" borderId="0" xfId="0" applyAlignment="1">
      <alignment horizontal="center" vertical="center"/>
    </xf>
    <xf numFmtId="0" fontId="0" fillId="0" borderId="1" xfId="0" applyBorder="1" applyAlignment="1">
      <alignment horizontal="center" vertical="center"/>
    </xf>
    <xf numFmtId="0" fontId="0" fillId="0" borderId="1" xfId="0" applyBorder="1" applyAlignment="1">
      <alignment vertical="center" wrapText="1"/>
    </xf>
    <xf numFmtId="0" fontId="9" fillId="0" borderId="0" xfId="0" applyFont="1" applyAlignment="1">
      <alignment horizontal="left" vertical="top" wrapText="1"/>
    </xf>
    <xf numFmtId="0" fontId="11" fillId="0" borderId="0" xfId="0" applyFont="1" applyAlignment="1">
      <alignment vertical="center"/>
    </xf>
    <xf numFmtId="0" fontId="11" fillId="0" borderId="1" xfId="0" applyFont="1" applyBorder="1" applyAlignment="1">
      <alignment vertical="center"/>
    </xf>
    <xf numFmtId="0" fontId="11" fillId="2" borderId="1" xfId="0" applyFont="1" applyFill="1" applyBorder="1" applyAlignment="1">
      <alignment vertical="center"/>
    </xf>
    <xf numFmtId="0" fontId="0" fillId="0" borderId="0" xfId="0" applyAlignment="1">
      <alignment vertical="center"/>
    </xf>
    <xf numFmtId="0" fontId="11" fillId="0" borderId="0" xfId="0" applyFont="1" applyAlignment="1">
      <alignment vertical="center" wrapText="1"/>
    </xf>
    <xf numFmtId="0" fontId="11" fillId="0" borderId="1" xfId="0" applyFont="1" applyBorder="1" applyAlignment="1">
      <alignment vertical="center" wrapText="1"/>
    </xf>
    <xf numFmtId="0" fontId="11" fillId="0" borderId="1" xfId="0" applyFont="1" applyBorder="1" applyAlignment="1">
      <alignment horizontal="left" vertical="center" wrapText="1"/>
    </xf>
    <xf numFmtId="0" fontId="11" fillId="2" borderId="1" xfId="0" applyFont="1" applyFill="1" applyBorder="1" applyAlignment="1">
      <alignment vertical="center" wrapText="1"/>
    </xf>
    <xf numFmtId="0" fontId="0" fillId="0" borderId="0" xfId="0" applyAlignment="1">
      <alignment vertical="center" wrapText="1"/>
    </xf>
    <xf numFmtId="0" fontId="11" fillId="0" borderId="1" xfId="0" applyFont="1" applyBorder="1" applyAlignment="1">
      <alignment horizontal="center" vertical="center"/>
    </xf>
    <xf numFmtId="0" fontId="11" fillId="0" borderId="1" xfId="0" applyFont="1" applyBorder="1" applyAlignment="1">
      <alignment horizontal="center" vertical="center" wrapText="1"/>
    </xf>
    <xf numFmtId="0" fontId="14" fillId="0" borderId="1" xfId="1" applyBorder="1" applyAlignment="1">
      <alignment vertical="center" wrapText="1"/>
    </xf>
    <xf numFmtId="0" fontId="11" fillId="0" borderId="2" xfId="0" applyFont="1" applyBorder="1" applyAlignment="1">
      <alignment horizontal="center" vertical="center"/>
    </xf>
    <xf numFmtId="0" fontId="11" fillId="0" borderId="0" xfId="0" applyFont="1" applyAlignment="1">
      <alignment horizontal="center" vertical="center"/>
    </xf>
    <xf numFmtId="0" fontId="23" fillId="0" borderId="1" xfId="0" applyFont="1" applyBorder="1" applyAlignment="1">
      <alignment horizontal="center" vertical="center"/>
    </xf>
    <xf numFmtId="0" fontId="23" fillId="0" borderId="1" xfId="0" applyFont="1" applyBorder="1" applyAlignment="1">
      <alignment horizontal="center" vertical="center" wrapText="1"/>
    </xf>
    <xf numFmtId="0" fontId="21" fillId="0" borderId="1" xfId="0" applyFont="1" applyBorder="1" applyAlignment="1">
      <alignment horizontal="center" vertical="center"/>
    </xf>
    <xf numFmtId="0" fontId="21" fillId="0" borderId="2" xfId="0" applyFont="1" applyBorder="1" applyAlignment="1">
      <alignment horizontal="center" vertical="center"/>
    </xf>
    <xf numFmtId="0" fontId="21" fillId="0" borderId="11" xfId="0" applyFont="1" applyBorder="1" applyAlignment="1">
      <alignment horizontal="center" vertical="center"/>
    </xf>
    <xf numFmtId="0" fontId="0" fillId="0" borderId="11" xfId="0" applyFont="1" applyBorder="1" applyAlignment="1">
      <alignment vertical="center"/>
    </xf>
    <xf numFmtId="0" fontId="16" fillId="0" borderId="1" xfId="0" applyFont="1" applyFill="1" applyBorder="1" applyAlignment="1">
      <alignment vertical="center" wrapText="1"/>
    </xf>
    <xf numFmtId="0" fontId="11" fillId="0" borderId="1" xfId="0" applyFont="1" applyFill="1" applyBorder="1" applyAlignment="1">
      <alignment horizontal="center" vertical="center"/>
    </xf>
    <xf numFmtId="0" fontId="11" fillId="0" borderId="1" xfId="0" applyFont="1" applyFill="1" applyBorder="1" applyAlignment="1">
      <alignment vertical="center" wrapText="1"/>
    </xf>
    <xf numFmtId="0" fontId="0" fillId="0" borderId="1" xfId="0" applyFill="1" applyBorder="1" applyAlignment="1">
      <alignment horizontal="center" vertical="center"/>
    </xf>
    <xf numFmtId="0" fontId="14" fillId="0" borderId="1" xfId="1" applyFill="1" applyBorder="1" applyAlignment="1">
      <alignment vertical="center"/>
    </xf>
    <xf numFmtId="0" fontId="13" fillId="0" borderId="0" xfId="0" applyFont="1" applyAlignment="1">
      <alignment horizontal="center" vertical="center"/>
    </xf>
    <xf numFmtId="0" fontId="9" fillId="0" borderId="0" xfId="0" applyFont="1" applyAlignment="1">
      <alignment horizontal="left" vertical="center"/>
    </xf>
    <xf numFmtId="0" fontId="14" fillId="0" borderId="0" xfId="1" applyFill="1" applyAlignment="1">
      <alignment vertical="center"/>
    </xf>
    <xf numFmtId="0" fontId="0" fillId="0" borderId="0" xfId="0" applyAlignment="1">
      <alignment horizontal="left" vertical="center"/>
    </xf>
    <xf numFmtId="0" fontId="24" fillId="0" borderId="7" xfId="0" applyFont="1" applyBorder="1" applyAlignment="1">
      <alignment horizontal="center" vertical="center"/>
    </xf>
    <xf numFmtId="0" fontId="24" fillId="0" borderId="5" xfId="0" applyFont="1" applyBorder="1" applyAlignment="1">
      <alignment horizontal="center" vertical="center"/>
    </xf>
    <xf numFmtId="0" fontId="0" fillId="0" borderId="0" xfId="0" applyFill="1" applyAlignment="1">
      <alignment vertical="center"/>
    </xf>
    <xf numFmtId="0" fontId="0" fillId="0" borderId="2" xfId="0" applyBorder="1" applyAlignment="1">
      <alignment vertical="center" wrapText="1"/>
    </xf>
    <xf numFmtId="0" fontId="0" fillId="0" borderId="0" xfId="0" applyFill="1" applyBorder="1" applyAlignment="1">
      <alignment vertical="center"/>
    </xf>
    <xf numFmtId="0" fontId="24" fillId="0" borderId="12" xfId="0" applyFont="1" applyBorder="1" applyAlignment="1">
      <alignment horizontal="center" vertical="center"/>
    </xf>
    <xf numFmtId="0" fontId="21" fillId="0" borderId="5" xfId="0" applyFont="1" applyBorder="1" applyAlignment="1">
      <alignment horizontal="center" vertical="center"/>
    </xf>
    <xf numFmtId="0" fontId="21" fillId="0" borderId="6" xfId="0" applyFont="1" applyBorder="1" applyAlignment="1">
      <alignment horizontal="center" vertical="center"/>
    </xf>
    <xf numFmtId="0" fontId="11" fillId="0" borderId="1" xfId="0" applyFont="1" applyFill="1" applyBorder="1" applyAlignment="1">
      <alignment horizontal="left" vertical="center" wrapText="1"/>
    </xf>
    <xf numFmtId="0" fontId="11" fillId="0" borderId="1" xfId="0" applyFont="1" applyFill="1" applyBorder="1" applyAlignment="1">
      <alignment horizontal="left" vertical="center"/>
    </xf>
    <xf numFmtId="0" fontId="0" fillId="0" borderId="1" xfId="0" applyFont="1" applyFill="1" applyBorder="1" applyAlignment="1">
      <alignment horizontal="left" vertical="center"/>
    </xf>
    <xf numFmtId="0" fontId="0" fillId="0" borderId="5" xfId="0" applyFont="1" applyFill="1" applyBorder="1" applyAlignment="1">
      <alignment horizontal="left" vertical="center"/>
    </xf>
    <xf numFmtId="0" fontId="0" fillId="0" borderId="4" xfId="0" applyFont="1" applyFill="1" applyBorder="1" applyAlignment="1">
      <alignment horizontal="left" vertical="center"/>
    </xf>
    <xf numFmtId="0" fontId="0" fillId="0" borderId="11" xfId="0" applyFont="1" applyBorder="1" applyAlignment="1">
      <alignment vertical="center" wrapText="1"/>
    </xf>
    <xf numFmtId="0" fontId="26" fillId="0" borderId="1" xfId="0" applyFont="1" applyFill="1" applyBorder="1" applyAlignment="1">
      <alignment horizontal="center" vertical="center"/>
    </xf>
    <xf numFmtId="0" fontId="11" fillId="0" borderId="1" xfId="0" applyFont="1" applyFill="1" applyBorder="1" applyAlignment="1">
      <alignment vertical="center"/>
    </xf>
    <xf numFmtId="0" fontId="14" fillId="0" borderId="1" xfId="1" applyFill="1" applyBorder="1" applyAlignment="1">
      <alignment vertical="center" wrapText="1"/>
    </xf>
    <xf numFmtId="0" fontId="11" fillId="0" borderId="4" xfId="0" applyFont="1" applyFill="1" applyBorder="1" applyAlignment="1">
      <alignment horizontal="center" vertical="center"/>
    </xf>
    <xf numFmtId="0" fontId="11" fillId="0" borderId="2" xfId="0" applyFont="1" applyFill="1" applyBorder="1" applyAlignment="1">
      <alignment vertical="center" wrapText="1"/>
    </xf>
    <xf numFmtId="0" fontId="0" fillId="0" borderId="3" xfId="0" applyFill="1" applyBorder="1" applyAlignment="1">
      <alignment horizontal="center" vertical="center"/>
    </xf>
    <xf numFmtId="0" fontId="11" fillId="0" borderId="5" xfId="0" applyFont="1" applyFill="1" applyBorder="1" applyAlignment="1">
      <alignment horizontal="center" vertical="center"/>
    </xf>
    <xf numFmtId="0" fontId="0" fillId="0" borderId="2" xfId="0" applyFill="1" applyBorder="1" applyAlignment="1">
      <alignment horizontal="center" vertical="center"/>
    </xf>
    <xf numFmtId="0" fontId="0" fillId="0" borderId="1" xfId="0" applyFill="1" applyBorder="1" applyAlignment="1">
      <alignment vertical="center" wrapText="1"/>
    </xf>
    <xf numFmtId="0" fontId="0" fillId="0" borderId="2" xfId="0" applyBorder="1" applyAlignment="1">
      <alignment horizontal="center" vertical="center"/>
    </xf>
    <xf numFmtId="0" fontId="27" fillId="0" borderId="2" xfId="0" applyFont="1" applyFill="1" applyBorder="1" applyAlignment="1">
      <alignment horizontal="center" vertical="center"/>
    </xf>
    <xf numFmtId="0" fontId="28" fillId="3" borderId="0" xfId="0" applyFont="1" applyFill="1" applyAlignment="1">
      <alignment horizontal="center" vertical="center"/>
    </xf>
    <xf numFmtId="9" fontId="28" fillId="3" borderId="0" xfId="3" applyFont="1" applyFill="1" applyAlignment="1">
      <alignment vertical="center"/>
    </xf>
    <xf numFmtId="0" fontId="0" fillId="0" borderId="11" xfId="0" applyBorder="1" applyAlignment="1">
      <alignment vertical="center"/>
    </xf>
    <xf numFmtId="0" fontId="0" fillId="0" borderId="11" xfId="0" applyBorder="1"/>
    <xf numFmtId="0" fontId="0" fillId="0" borderId="11" xfId="0" applyBorder="1" applyAlignment="1">
      <alignment horizontal="left" vertical="center"/>
    </xf>
    <xf numFmtId="0" fontId="11" fillId="0" borderId="3" xfId="0" applyFont="1" applyFill="1" applyBorder="1" applyAlignment="1">
      <alignment horizontal="center" vertical="center"/>
    </xf>
    <xf numFmtId="0" fontId="11" fillId="0" borderId="2" xfId="0" applyFont="1" applyFill="1" applyBorder="1" applyAlignment="1">
      <alignment horizontal="left" vertical="center"/>
    </xf>
    <xf numFmtId="0" fontId="14" fillId="0" borderId="11" xfId="1" applyFill="1" applyBorder="1" applyAlignment="1">
      <alignment vertical="center"/>
    </xf>
    <xf numFmtId="0" fontId="19" fillId="0" borderId="1" xfId="0" applyFont="1" applyFill="1" applyBorder="1" applyAlignment="1">
      <alignment horizontal="left" vertical="center"/>
    </xf>
    <xf numFmtId="0" fontId="19" fillId="0" borderId="1" xfId="0" applyFont="1" applyFill="1" applyBorder="1" applyAlignment="1">
      <alignment horizontal="left" vertical="center" wrapText="1"/>
    </xf>
    <xf numFmtId="0" fontId="14" fillId="0" borderId="1" xfId="1" applyFill="1" applyBorder="1" applyAlignment="1">
      <alignment horizontal="left" vertical="center" wrapText="1"/>
    </xf>
    <xf numFmtId="0" fontId="11" fillId="0" borderId="1" xfId="0" applyFont="1" applyFill="1" applyBorder="1" applyAlignment="1">
      <alignment horizontal="center" vertical="center" wrapText="1"/>
    </xf>
    <xf numFmtId="0" fontId="14" fillId="0" borderId="1" xfId="2" applyFont="1" applyFill="1" applyBorder="1" applyAlignment="1">
      <alignment horizontal="left" vertical="center"/>
    </xf>
    <xf numFmtId="0" fontId="16" fillId="0" borderId="1" xfId="1" applyFont="1" applyFill="1" applyBorder="1" applyAlignment="1">
      <alignment vertical="center" wrapText="1"/>
    </xf>
    <xf numFmtId="0" fontId="11" fillId="0" borderId="4" xfId="0" applyFont="1" applyFill="1" applyBorder="1" applyAlignment="1">
      <alignment horizontal="left" vertical="center"/>
    </xf>
    <xf numFmtId="0" fontId="19" fillId="0" borderId="4" xfId="0" applyFont="1" applyFill="1" applyBorder="1" applyAlignment="1">
      <alignment horizontal="left" vertical="center"/>
    </xf>
    <xf numFmtId="0" fontId="8" fillId="0" borderId="2" xfId="0" applyFont="1" applyFill="1" applyBorder="1" applyAlignment="1">
      <alignment horizontal="left" vertical="center" wrapText="1"/>
    </xf>
    <xf numFmtId="0" fontId="11" fillId="0" borderId="2" xfId="0" applyFont="1" applyFill="1" applyBorder="1" applyAlignment="1">
      <alignment horizontal="left" vertical="center" wrapText="1"/>
    </xf>
    <xf numFmtId="0" fontId="21" fillId="0" borderId="12" xfId="0" applyFont="1" applyBorder="1" applyAlignment="1">
      <alignment horizontal="center" vertical="center"/>
    </xf>
    <xf numFmtId="0" fontId="19" fillId="0" borderId="5" xfId="0" applyFont="1" applyFill="1" applyBorder="1" applyAlignment="1">
      <alignment horizontal="left" vertical="center"/>
    </xf>
    <xf numFmtId="0" fontId="0" fillId="0" borderId="11" xfId="0" applyFill="1" applyBorder="1" applyAlignment="1">
      <alignment horizontal="left" vertical="center"/>
    </xf>
    <xf numFmtId="0" fontId="19" fillId="0" borderId="11" xfId="0" applyFont="1" applyFill="1" applyBorder="1" applyAlignment="1">
      <alignment horizontal="left" vertical="center"/>
    </xf>
    <xf numFmtId="0" fontId="20" fillId="0" borderId="11" xfId="2" applyFill="1" applyBorder="1" applyAlignment="1">
      <alignment horizontal="left" vertical="center"/>
    </xf>
    <xf numFmtId="0" fontId="19" fillId="0" borderId="11" xfId="0" applyFont="1" applyFill="1" applyBorder="1" applyAlignment="1">
      <alignment horizontal="left" vertical="center" wrapText="1"/>
    </xf>
    <xf numFmtId="0" fontId="14" fillId="0" borderId="11" xfId="1" applyFill="1" applyBorder="1" applyAlignment="1">
      <alignment vertical="center" wrapText="1"/>
    </xf>
    <xf numFmtId="0" fontId="14" fillId="0" borderId="11" xfId="1" applyFill="1" applyBorder="1" applyAlignment="1">
      <alignment horizontal="left" vertical="center" wrapText="1"/>
    </xf>
    <xf numFmtId="0" fontId="14" fillId="0" borderId="11" xfId="2" applyFont="1" applyFill="1" applyBorder="1" applyAlignment="1">
      <alignment horizontal="left" vertical="center"/>
    </xf>
    <xf numFmtId="0" fontId="8" fillId="0" borderId="0" xfId="0" applyFont="1" applyAlignment="1">
      <alignment horizontal="left" vertical="center"/>
    </xf>
    <xf numFmtId="0" fontId="29" fillId="0" borderId="3" xfId="0" applyFont="1" applyFill="1" applyBorder="1" applyAlignment="1">
      <alignment horizontal="center" vertical="center"/>
    </xf>
    <xf numFmtId="0" fontId="29" fillId="0" borderId="1" xfId="0" applyFont="1" applyFill="1" applyBorder="1" applyAlignment="1">
      <alignment horizontal="center" vertical="center"/>
    </xf>
    <xf numFmtId="0" fontId="11" fillId="0" borderId="3" xfId="0" applyFont="1" applyBorder="1" applyAlignment="1">
      <alignment horizontal="center" vertical="center" wrapText="1"/>
    </xf>
    <xf numFmtId="0" fontId="0" fillId="0" borderId="5" xfId="0" applyFont="1" applyBorder="1" applyAlignment="1">
      <alignment vertical="center" wrapText="1"/>
    </xf>
    <xf numFmtId="0" fontId="0" fillId="0" borderId="1" xfId="0" applyFont="1" applyBorder="1" applyAlignment="1">
      <alignment vertical="center" wrapText="1"/>
    </xf>
    <xf numFmtId="0" fontId="11" fillId="0" borderId="8" xfId="0" applyFont="1" applyBorder="1" applyAlignment="1">
      <alignment horizontal="center" vertical="center" wrapText="1"/>
    </xf>
    <xf numFmtId="0" fontId="11" fillId="0" borderId="4" xfId="0" applyFont="1" applyBorder="1" applyAlignment="1">
      <alignment vertical="center" wrapText="1"/>
    </xf>
    <xf numFmtId="0" fontId="11" fillId="0" borderId="4" xfId="0" applyFont="1" applyBorder="1" applyAlignment="1">
      <alignment horizontal="center" vertical="center" wrapText="1"/>
    </xf>
    <xf numFmtId="0" fontId="0" fillId="0" borderId="4" xfId="0" applyFont="1" applyBorder="1" applyAlignment="1">
      <alignment vertical="center" wrapText="1"/>
    </xf>
    <xf numFmtId="0" fontId="14" fillId="0" borderId="2" xfId="1" applyFill="1" applyBorder="1" applyAlignment="1">
      <alignment vertical="center"/>
    </xf>
    <xf numFmtId="0" fontId="0" fillId="0" borderId="6" xfId="0" applyFill="1" applyBorder="1" applyAlignment="1">
      <alignment vertical="center" wrapText="1"/>
    </xf>
    <xf numFmtId="0" fontId="0" fillId="0" borderId="5" xfId="0" applyFill="1" applyBorder="1" applyAlignment="1">
      <alignment vertical="center" wrapText="1"/>
    </xf>
    <xf numFmtId="0" fontId="0" fillId="0" borderId="2" xfId="0" applyFill="1" applyBorder="1" applyAlignment="1">
      <alignment vertical="center" wrapText="1"/>
    </xf>
    <xf numFmtId="0" fontId="18" fillId="0" borderId="2" xfId="0" applyFont="1" applyFill="1" applyBorder="1" applyAlignment="1">
      <alignment horizontal="left" vertical="center" wrapText="1"/>
    </xf>
    <xf numFmtId="0" fontId="10" fillId="0" borderId="2" xfId="0" applyFont="1" applyFill="1" applyBorder="1" applyAlignment="1">
      <alignment vertical="center" wrapText="1"/>
    </xf>
    <xf numFmtId="0" fontId="14" fillId="0" borderId="2" xfId="1" applyFill="1" applyBorder="1" applyAlignment="1">
      <alignment vertical="center" wrapText="1"/>
    </xf>
    <xf numFmtId="0" fontId="14" fillId="0" borderId="9" xfId="1" applyFill="1" applyBorder="1" applyAlignment="1">
      <alignment vertical="center" wrapText="1"/>
    </xf>
    <xf numFmtId="0" fontId="0" fillId="0" borderId="10" xfId="0" applyFill="1" applyBorder="1" applyAlignment="1">
      <alignment vertical="center" wrapText="1"/>
    </xf>
    <xf numFmtId="0" fontId="11" fillId="0" borderId="6" xfId="0" applyFont="1" applyFill="1" applyBorder="1" applyAlignment="1">
      <alignment vertical="center" wrapText="1"/>
    </xf>
    <xf numFmtId="0" fontId="14" fillId="0" borderId="2" xfId="2" applyFont="1" applyFill="1" applyBorder="1" applyAlignment="1">
      <alignment vertical="center" wrapText="1"/>
    </xf>
    <xf numFmtId="0" fontId="11" fillId="0" borderId="4" xfId="0" applyFont="1" applyFill="1" applyBorder="1" applyAlignment="1">
      <alignment vertical="center" wrapText="1"/>
    </xf>
    <xf numFmtId="0" fontId="11" fillId="0" borderId="4" xfId="0" applyFont="1" applyFill="1" applyBorder="1" applyAlignment="1">
      <alignment horizontal="left" vertical="center" wrapText="1"/>
    </xf>
    <xf numFmtId="0" fontId="11" fillId="0" borderId="9" xfId="0" applyFont="1" applyFill="1" applyBorder="1" applyAlignment="1">
      <alignment vertical="center" wrapText="1"/>
    </xf>
    <xf numFmtId="0" fontId="0" fillId="0" borderId="4" xfId="0" applyFill="1" applyBorder="1" applyAlignment="1">
      <alignment vertical="center" wrapText="1"/>
    </xf>
    <xf numFmtId="0" fontId="0" fillId="0" borderId="1" xfId="0" applyFill="1" applyBorder="1" applyAlignment="1">
      <alignment horizontal="center" vertical="center" wrapText="1"/>
    </xf>
    <xf numFmtId="0" fontId="29" fillId="0" borderId="2" xfId="0" applyFont="1" applyFill="1" applyBorder="1" applyAlignment="1">
      <alignment vertical="center" wrapText="1"/>
    </xf>
    <xf numFmtId="0" fontId="29" fillId="0" borderId="1" xfId="0" applyFont="1" applyFill="1" applyBorder="1" applyAlignment="1">
      <alignment horizontal="center" vertical="center" wrapText="1"/>
    </xf>
    <xf numFmtId="0" fontId="8" fillId="0" borderId="0" xfId="0" applyFont="1" applyAlignment="1">
      <alignment horizontal="left" vertical="top" wrapText="1"/>
    </xf>
    <xf numFmtId="0" fontId="7" fillId="0" borderId="2" xfId="0" applyFont="1" applyFill="1" applyBorder="1" applyAlignment="1">
      <alignment horizontal="left" vertical="center" wrapText="1"/>
    </xf>
    <xf numFmtId="0" fontId="26" fillId="0" borderId="1" xfId="0" applyFont="1" applyFill="1" applyBorder="1" applyAlignment="1">
      <alignment horizontal="left" vertical="center"/>
    </xf>
    <xf numFmtId="0" fontId="0" fillId="0" borderId="0" xfId="0" applyFill="1" applyBorder="1" applyAlignment="1">
      <alignment vertical="center" wrapText="1"/>
    </xf>
    <xf numFmtId="0" fontId="14" fillId="0" borderId="0" xfId="1" applyAlignment="1">
      <alignment vertical="center" wrapText="1"/>
    </xf>
    <xf numFmtId="0" fontId="0" fillId="0" borderId="3" xfId="0" applyFill="1" applyBorder="1" applyAlignment="1">
      <alignment horizontal="center" vertical="center" wrapText="1"/>
    </xf>
    <xf numFmtId="0" fontId="0" fillId="0" borderId="13" xfId="0" applyBorder="1" applyAlignment="1">
      <alignment vertical="center" wrapText="1"/>
    </xf>
    <xf numFmtId="0" fontId="21" fillId="0" borderId="6" xfId="0" applyFont="1" applyBorder="1" applyAlignment="1">
      <alignment horizontal="center" vertical="center" wrapText="1"/>
    </xf>
    <xf numFmtId="0" fontId="9" fillId="0" borderId="6" xfId="0" applyFont="1" applyFill="1" applyBorder="1" applyAlignment="1">
      <alignment horizontal="left" vertical="center" wrapText="1"/>
    </xf>
    <xf numFmtId="0" fontId="9" fillId="0" borderId="2" xfId="0" applyFont="1" applyFill="1" applyBorder="1" applyAlignment="1">
      <alignment horizontal="left" vertical="center" wrapText="1"/>
    </xf>
    <xf numFmtId="0" fontId="7" fillId="0" borderId="9" xfId="0" applyFont="1" applyFill="1" applyBorder="1" applyAlignment="1">
      <alignment horizontal="left" vertical="center" wrapText="1"/>
    </xf>
    <xf numFmtId="0" fontId="6" fillId="0" borderId="2" xfId="0" applyFont="1" applyFill="1" applyBorder="1" applyAlignment="1">
      <alignment horizontal="left" vertical="center" wrapText="1"/>
    </xf>
    <xf numFmtId="0" fontId="5" fillId="0" borderId="2" xfId="0" applyFont="1" applyFill="1" applyBorder="1" applyAlignment="1">
      <alignment horizontal="left" vertical="center" wrapText="1"/>
    </xf>
    <xf numFmtId="2" fontId="0" fillId="0" borderId="3" xfId="0" applyNumberFormat="1" applyFill="1" applyBorder="1" applyAlignment="1">
      <alignment horizontal="center" vertical="center"/>
    </xf>
    <xf numFmtId="0" fontId="0" fillId="0" borderId="1" xfId="0" applyFont="1" applyFill="1" applyBorder="1" applyAlignment="1">
      <alignment horizontal="left" vertical="center" wrapText="1"/>
    </xf>
    <xf numFmtId="0" fontId="4" fillId="0" borderId="2" xfId="0" applyFont="1" applyFill="1" applyBorder="1" applyAlignment="1">
      <alignment horizontal="left" vertical="center" wrapText="1"/>
    </xf>
    <xf numFmtId="0" fontId="26" fillId="0" borderId="3" xfId="0" applyFont="1" applyFill="1" applyBorder="1" applyAlignment="1">
      <alignment horizontal="center" vertical="center"/>
    </xf>
    <xf numFmtId="0" fontId="30" fillId="0" borderId="1" xfId="0" applyFont="1" applyFill="1" applyBorder="1" applyAlignment="1">
      <alignment horizontal="left" vertical="center" wrapText="1"/>
    </xf>
    <xf numFmtId="0" fontId="30" fillId="0" borderId="2" xfId="0" applyFont="1" applyFill="1" applyBorder="1" applyAlignment="1">
      <alignment horizontal="left" vertical="center"/>
    </xf>
    <xf numFmtId="0" fontId="31" fillId="0" borderId="11" xfId="1" applyFont="1" applyFill="1" applyBorder="1" applyAlignment="1">
      <alignment vertical="center"/>
    </xf>
    <xf numFmtId="0" fontId="30" fillId="0" borderId="3" xfId="0" applyFont="1" applyFill="1" applyBorder="1" applyAlignment="1">
      <alignment horizontal="center" vertical="center"/>
    </xf>
    <xf numFmtId="0" fontId="30" fillId="0" borderId="2" xfId="0" applyFont="1" applyFill="1" applyBorder="1" applyAlignment="1">
      <alignment horizontal="left" vertical="center" wrapText="1"/>
    </xf>
    <xf numFmtId="0" fontId="26" fillId="0" borderId="4" xfId="0" applyFont="1" applyFill="1" applyBorder="1" applyAlignment="1">
      <alignment horizontal="center" vertical="center"/>
    </xf>
    <xf numFmtId="0" fontId="3" fillId="0" borderId="2" xfId="0" applyFont="1" applyFill="1" applyBorder="1" applyAlignment="1">
      <alignment horizontal="left" vertical="center" wrapText="1"/>
    </xf>
    <xf numFmtId="0" fontId="0" fillId="0" borderId="2" xfId="0" applyFont="1" applyFill="1" applyBorder="1" applyAlignment="1">
      <alignment vertical="center" wrapText="1"/>
    </xf>
    <xf numFmtId="0" fontId="26" fillId="0" borderId="2" xfId="0" applyFont="1" applyFill="1" applyBorder="1" applyAlignment="1">
      <alignment vertical="center" wrapText="1"/>
    </xf>
    <xf numFmtId="0" fontId="26" fillId="0" borderId="1" xfId="0" applyFont="1" applyFill="1" applyBorder="1" applyAlignment="1">
      <alignment horizontal="center" vertical="center" wrapText="1"/>
    </xf>
    <xf numFmtId="0" fontId="26" fillId="0" borderId="9" xfId="0" applyFont="1" applyFill="1" applyBorder="1" applyAlignment="1">
      <alignment vertical="center" wrapText="1"/>
    </xf>
    <xf numFmtId="0" fontId="26" fillId="0" borderId="1" xfId="0" applyFont="1" applyFill="1" applyBorder="1" applyAlignment="1">
      <alignment vertical="center" wrapText="1"/>
    </xf>
    <xf numFmtId="0" fontId="30" fillId="0" borderId="2" xfId="0" applyFont="1" applyFill="1" applyBorder="1" applyAlignment="1">
      <alignment vertical="center" wrapText="1"/>
    </xf>
    <xf numFmtId="0" fontId="30" fillId="0" borderId="1" xfId="0" applyFont="1" applyFill="1" applyBorder="1" applyAlignment="1">
      <alignment horizontal="center" vertical="center" wrapText="1"/>
    </xf>
    <xf numFmtId="0" fontId="30" fillId="0" borderId="1" xfId="0" applyFont="1" applyFill="1" applyBorder="1" applyAlignment="1">
      <alignment vertical="center" wrapText="1"/>
    </xf>
    <xf numFmtId="0" fontId="28" fillId="3" borderId="11" xfId="0" applyFont="1" applyFill="1" applyBorder="1" applyAlignment="1">
      <alignment horizontal="center" vertical="center"/>
    </xf>
    <xf numFmtId="9" fontId="28" fillId="3" borderId="11" xfId="3" applyFont="1" applyFill="1" applyBorder="1" applyAlignment="1">
      <alignment vertical="center"/>
    </xf>
    <xf numFmtId="0" fontId="0" fillId="0" borderId="11" xfId="0" applyBorder="1" applyAlignment="1">
      <alignment horizontal="center" vertical="center"/>
    </xf>
    <xf numFmtId="0" fontId="26" fillId="0" borderId="2" xfId="0" applyFont="1" applyBorder="1" applyAlignment="1">
      <alignment horizontal="center" vertical="center"/>
    </xf>
    <xf numFmtId="0" fontId="26" fillId="0" borderId="11" xfId="0" applyFont="1" applyBorder="1" applyAlignment="1">
      <alignment vertical="center" wrapText="1"/>
    </xf>
    <xf numFmtId="0" fontId="26" fillId="0" borderId="1" xfId="0" applyFont="1" applyBorder="1" applyAlignment="1">
      <alignment horizontal="center" vertical="center"/>
    </xf>
    <xf numFmtId="0" fontId="2" fillId="0" borderId="2" xfId="0" applyFont="1" applyFill="1" applyBorder="1" applyAlignment="1">
      <alignment horizontal="left" vertical="center" wrapText="1"/>
    </xf>
    <xf numFmtId="0" fontId="26" fillId="0" borderId="2" xfId="0" applyFont="1" applyFill="1" applyBorder="1" applyAlignment="1">
      <alignment horizontal="left" vertical="center" wrapText="1"/>
    </xf>
    <xf numFmtId="0" fontId="26" fillId="0" borderId="11" xfId="0" applyFont="1" applyFill="1" applyBorder="1" applyAlignment="1">
      <alignment horizontal="center" vertical="center"/>
    </xf>
    <xf numFmtId="0" fontId="0" fillId="0" borderId="11" xfId="0" applyFill="1" applyBorder="1" applyAlignment="1">
      <alignment horizontal="center" vertical="center"/>
    </xf>
    <xf numFmtId="0" fontId="29" fillId="0" borderId="11" xfId="0" applyFont="1" applyFill="1" applyBorder="1" applyAlignment="1">
      <alignment horizontal="center" vertical="center"/>
    </xf>
    <xf numFmtId="0" fontId="0" fillId="0" borderId="7" xfId="0" applyFill="1" applyBorder="1" applyAlignment="1">
      <alignment horizontal="center" vertical="center"/>
    </xf>
    <xf numFmtId="9" fontId="0" fillId="0" borderId="0" xfId="0" applyNumberFormat="1"/>
    <xf numFmtId="0" fontId="28" fillId="0" borderId="0" xfId="0" applyFont="1"/>
    <xf numFmtId="0" fontId="0" fillId="0" borderId="0" xfId="0" applyAlignment="1">
      <alignment horizontal="center" vertical="center"/>
    </xf>
    <xf numFmtId="10" fontId="28" fillId="0" borderId="0" xfId="0" applyNumberFormat="1" applyFont="1"/>
    <xf numFmtId="10" fontId="0" fillId="0" borderId="0" xfId="0" applyNumberFormat="1"/>
    <xf numFmtId="0" fontId="0" fillId="0" borderId="0" xfId="0" applyAlignment="1">
      <alignment horizontal="center" vertical="center"/>
    </xf>
    <xf numFmtId="0" fontId="1" fillId="0" borderId="2" xfId="0" applyFont="1" applyFill="1" applyBorder="1" applyAlignment="1">
      <alignment horizontal="left" vertical="center" wrapText="1"/>
    </xf>
    <xf numFmtId="0" fontId="33" fillId="0" borderId="1" xfId="0" applyFont="1" applyBorder="1" applyAlignment="1">
      <alignment horizontal="center" vertical="center"/>
    </xf>
    <xf numFmtId="0" fontId="33" fillId="0" borderId="1" xfId="0" applyFont="1" applyBorder="1" applyAlignment="1">
      <alignment vertical="center" wrapText="1"/>
    </xf>
    <xf numFmtId="0" fontId="34" fillId="0" borderId="1" xfId="1" applyFont="1" applyBorder="1" applyAlignment="1">
      <alignment vertical="center" wrapText="1"/>
    </xf>
    <xf numFmtId="0" fontId="0" fillId="0" borderId="1" xfId="0" applyFont="1" applyBorder="1" applyAlignment="1">
      <alignment horizontal="center" vertical="center"/>
    </xf>
    <xf numFmtId="0" fontId="33" fillId="0" borderId="2" xfId="0" applyFont="1" applyBorder="1" applyAlignment="1">
      <alignment horizontal="center" vertical="center"/>
    </xf>
    <xf numFmtId="0" fontId="33" fillId="0" borderId="1" xfId="0" applyFont="1" applyBorder="1" applyAlignment="1">
      <alignment horizontal="center" vertical="center" wrapText="1"/>
    </xf>
    <xf numFmtId="0" fontId="17" fillId="0" borderId="0" xfId="0" applyFont="1" applyAlignment="1">
      <alignment vertical="center" wrapText="1"/>
    </xf>
    <xf numFmtId="0" fontId="24" fillId="0" borderId="1" xfId="0" applyFont="1" applyBorder="1" applyAlignment="1">
      <alignment horizontal="center" vertical="center" wrapText="1"/>
    </xf>
    <xf numFmtId="0" fontId="17" fillId="0" borderId="5" xfId="0" applyFont="1" applyBorder="1" applyAlignment="1">
      <alignment vertical="center" wrapText="1"/>
    </xf>
    <xf numFmtId="0" fontId="14" fillId="0" borderId="0" xfId="1" applyFill="1" applyAlignment="1">
      <alignment vertical="center" wrapText="1"/>
    </xf>
    <xf numFmtId="0" fontId="17" fillId="0" borderId="5" xfId="0" applyFont="1" applyFill="1" applyBorder="1" applyAlignment="1">
      <alignment vertical="center" wrapText="1"/>
    </xf>
    <xf numFmtId="0" fontId="17" fillId="0" borderId="1" xfId="0" applyFont="1" applyFill="1" applyBorder="1" applyAlignment="1">
      <alignment vertical="center" wrapText="1"/>
    </xf>
    <xf numFmtId="0" fontId="17" fillId="0" borderId="1" xfId="0" applyFont="1" applyBorder="1" applyAlignment="1">
      <alignment vertical="center" wrapText="1"/>
    </xf>
    <xf numFmtId="0" fontId="17" fillId="0" borderId="0" xfId="0" applyFont="1" applyAlignment="1">
      <alignment horizontal="center" vertical="center" wrapText="1"/>
    </xf>
    <xf numFmtId="167" fontId="0" fillId="0" borderId="11" xfId="0" applyNumberFormat="1" applyFont="1" applyBorder="1" applyAlignment="1">
      <alignment vertical="center"/>
    </xf>
    <xf numFmtId="0" fontId="11" fillId="0" borderId="8" xfId="0" applyFont="1" applyFill="1" applyBorder="1" applyAlignment="1">
      <alignment horizontal="center" vertical="center"/>
    </xf>
    <xf numFmtId="0" fontId="33" fillId="0" borderId="3" xfId="0" applyFont="1" applyFill="1" applyBorder="1" applyAlignment="1">
      <alignment horizontal="center" vertical="center"/>
    </xf>
    <xf numFmtId="0" fontId="33" fillId="0" borderId="1" xfId="0" applyFont="1" applyFill="1" applyBorder="1" applyAlignment="1">
      <alignment horizontal="left" vertical="center"/>
    </xf>
    <xf numFmtId="0" fontId="33" fillId="0" borderId="1" xfId="0" applyFont="1" applyFill="1" applyBorder="1" applyAlignment="1">
      <alignment horizontal="center" vertical="center"/>
    </xf>
    <xf numFmtId="0" fontId="33" fillId="0" borderId="1" xfId="0" applyFont="1" applyFill="1" applyBorder="1" applyAlignment="1">
      <alignment horizontal="left" vertical="center" wrapText="1"/>
    </xf>
    <xf numFmtId="0" fontId="35" fillId="0" borderId="1" xfId="1" applyFont="1" applyFill="1" applyBorder="1" applyAlignment="1">
      <alignment horizontal="left" vertical="center"/>
    </xf>
    <xf numFmtId="0" fontId="0" fillId="0" borderId="1" xfId="0" applyFont="1" applyFill="1" applyBorder="1" applyAlignment="1">
      <alignment horizontal="center" vertical="center"/>
    </xf>
    <xf numFmtId="0" fontId="0" fillId="0" borderId="3" xfId="0" applyFont="1" applyFill="1" applyBorder="1" applyAlignment="1">
      <alignment horizontal="left" vertical="center"/>
    </xf>
    <xf numFmtId="0" fontId="11" fillId="0" borderId="3" xfId="0" applyFont="1" applyFill="1" applyBorder="1" applyAlignment="1">
      <alignment horizontal="center" vertical="center" wrapText="1"/>
    </xf>
    <xf numFmtId="0" fontId="33" fillId="0" borderId="1" xfId="0" applyFont="1" applyFill="1" applyBorder="1" applyAlignment="1">
      <alignment horizontal="center" vertical="center" wrapText="1"/>
    </xf>
    <xf numFmtId="0" fontId="36" fillId="0" borderId="3" xfId="0" applyFont="1" applyFill="1" applyBorder="1" applyAlignment="1">
      <alignment horizontal="left" vertical="center"/>
    </xf>
    <xf numFmtId="0" fontId="11" fillId="0" borderId="9" xfId="0" applyFont="1" applyFill="1" applyBorder="1" applyAlignment="1">
      <alignment horizontal="left" vertical="center"/>
    </xf>
    <xf numFmtId="0" fontId="11" fillId="0" borderId="7" xfId="0" applyFont="1" applyFill="1" applyBorder="1" applyAlignment="1">
      <alignment horizontal="center" vertical="center"/>
    </xf>
    <xf numFmtId="0" fontId="11" fillId="0" borderId="5" xfId="0" applyFont="1" applyFill="1" applyBorder="1" applyAlignment="1">
      <alignment horizontal="left" vertical="center"/>
    </xf>
    <xf numFmtId="0" fontId="11" fillId="0" borderId="5" xfId="0" applyFont="1" applyFill="1" applyBorder="1" applyAlignment="1">
      <alignment horizontal="left" vertical="center" wrapText="1"/>
    </xf>
    <xf numFmtId="0" fontId="11" fillId="0" borderId="6" xfId="0" applyFont="1" applyFill="1" applyBorder="1" applyAlignment="1">
      <alignment horizontal="left" vertical="center"/>
    </xf>
    <xf numFmtId="0" fontId="33" fillId="0" borderId="11" xfId="0" applyFont="1" applyFill="1" applyBorder="1" applyAlignment="1">
      <alignment horizontal="center" vertical="center"/>
    </xf>
    <xf numFmtId="0" fontId="0" fillId="0" borderId="11" xfId="0" applyBorder="1" applyAlignment="1">
      <alignment vertical="top" wrapText="1"/>
    </xf>
    <xf numFmtId="0" fontId="11" fillId="0" borderId="11" xfId="0" applyFont="1" applyFill="1" applyBorder="1" applyAlignment="1">
      <alignment horizontal="center" vertical="center" wrapText="1"/>
    </xf>
    <xf numFmtId="0" fontId="0" fillId="0" borderId="11" xfId="0" applyBorder="1" applyAlignment="1">
      <alignment horizontal="center" vertical="center" wrapText="1"/>
    </xf>
    <xf numFmtId="0" fontId="0" fillId="0" borderId="11" xfId="0" applyBorder="1" applyAlignment="1">
      <alignment horizontal="left" vertical="center" wrapText="1"/>
    </xf>
    <xf numFmtId="0" fontId="35" fillId="0" borderId="1" xfId="1" applyFont="1" applyFill="1" applyBorder="1" applyAlignment="1">
      <alignment horizontal="left" vertical="center" wrapText="1"/>
    </xf>
    <xf numFmtId="0" fontId="11" fillId="0" borderId="8" xfId="0" applyFont="1" applyFill="1" applyBorder="1" applyAlignment="1">
      <alignment horizontal="center" vertical="center" wrapText="1"/>
    </xf>
    <xf numFmtId="0" fontId="11" fillId="0" borderId="7" xfId="0" applyFont="1" applyFill="1" applyBorder="1" applyAlignment="1">
      <alignment horizontal="center" vertical="center" wrapText="1"/>
    </xf>
  </cellXfs>
  <cellStyles count="4">
    <cellStyle name="Hipertaut" xfId="2" xr:uid="{15A71EBA-50CE-471E-B06B-5DD20C447618}"/>
    <cellStyle name="Hyperlink" xfId="1" xr:uid="{00000000-000B-0000-0000-000008000000}"/>
    <cellStyle name="Normal" xfId="0" builtinId="0"/>
    <cellStyle name="Per cent" xfId="3" builtinId="5"/>
  </cellStyles>
  <dxfs count="91">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border>
        <left style="thin">
          <color rgb="FF000000"/>
        </left>
        <right style="thin">
          <color rgb="FF000000"/>
        </right>
        <top/>
        <bottom/>
        <vertical style="thin">
          <color rgb="FF000000"/>
        </vertical>
        <horizontal style="thin">
          <color rgb="FF000000"/>
        </horizontal>
      </border>
    </dxf>
    <dxf>
      <font>
        <b val="0"/>
        <i val="0"/>
        <strike val="0"/>
        <condense val="0"/>
        <extend val="0"/>
        <outline val="0"/>
        <shadow val="0"/>
        <u val="none"/>
        <vertAlign val="baseline"/>
        <sz val="11"/>
        <color rgb="FF000000"/>
        <name val="Aptos Narrow"/>
        <family val="2"/>
        <scheme val="minor"/>
      </font>
      <fill>
        <patternFill patternType="none">
          <fgColor indexed="64"/>
          <bgColor indexed="65"/>
        </patternFill>
      </fill>
      <alignment horizontal="center" vertical="center" textRotation="0" wrapText="1" indent="0" justifyLastLine="0" shrinkToFit="0" readingOrder="0"/>
      <border diagonalUp="0" diagonalDown="0" outline="0">
        <left/>
        <right style="thin">
          <color rgb="FF000000"/>
        </right>
        <top style="thin">
          <color rgb="FF000000"/>
        </top>
        <bottom style="thin">
          <color rgb="FF000000"/>
        </bottom>
      </border>
    </dxf>
    <dxf>
      <font>
        <color rgb="FF0070C0"/>
        <name val="Aptos Narrow"/>
        <scheme val="minor"/>
      </font>
      <alignment vertical="center" textRotation="0" wrapText="1" indent="0" justifyLastLine="0" shrinkToFit="0" readingOrder="0"/>
      <border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theme="1"/>
        <name val="Aptos Narrow"/>
        <scheme val="minor"/>
      </font>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vertical="top" wrapText="1"/>
      <border>
        <left style="thin">
          <color rgb="FF000000"/>
        </left>
        <right style="thin">
          <color rgb="FF000000"/>
        </right>
        <top/>
        <bottom/>
        <vertical style="thin">
          <color rgb="FF000000"/>
        </vertical>
        <horizontal style="thin">
          <color rgb="FF000000"/>
        </horizontal>
      </border>
    </dxf>
    <dxf>
      <font>
        <name val="Aptos Narrow"/>
        <scheme val="minor"/>
      </font>
      <alignment vertical="center" textRotation="0" wrapText="1" indent="0" justifyLastLine="0" shrinkToFit="0" readingOrder="0"/>
      <border outline="0">
        <left style="thin">
          <color rgb="FF000000"/>
        </left>
        <right style="thin">
          <color rgb="FF000000"/>
        </right>
        <top style="thin">
          <color rgb="FF000000"/>
        </top>
        <bottom style="thin">
          <color rgb="FF000000"/>
        </bottom>
      </border>
    </dxf>
    <dxf>
      <alignment vertical="top" wrapText="1"/>
      <border>
        <left style="thin">
          <color rgb="FF000000"/>
        </left>
        <right style="thin">
          <color rgb="FF000000"/>
        </right>
        <top/>
        <bottom/>
        <vertical style="thin">
          <color rgb="FF000000"/>
        </vertical>
        <horizontal style="thin">
          <color rgb="FF000000"/>
        </horizontal>
      </border>
    </dxf>
    <dxf>
      <font>
        <name val="Aptos Narrow"/>
        <scheme val="minor"/>
      </font>
      <fill>
        <patternFill patternType="none">
          <bgColor auto="1"/>
        </patternFill>
      </fill>
      <alignment vertical="center" textRotation="0" wrapText="1" indent="0" justifyLastLine="0" shrinkToFit="0" readingOrder="0"/>
      <border outline="0">
        <left style="thin">
          <color rgb="FF000000"/>
        </left>
        <right style="thin">
          <color rgb="FF000000"/>
        </right>
        <top style="thin">
          <color rgb="FF000000"/>
        </top>
        <bottom style="thin">
          <color rgb="FF000000"/>
        </bottom>
      </border>
    </dxf>
    <dxf>
      <alignment vertical="top" wrapText="1"/>
      <border>
        <left style="thin">
          <color rgb="FF000000"/>
        </left>
        <right style="thin">
          <color rgb="FF000000"/>
        </right>
        <top/>
        <bottom/>
        <vertical style="thin">
          <color rgb="FF000000"/>
        </vertical>
        <horizontal style="thin">
          <color rgb="FF000000"/>
        </horizontal>
      </border>
    </dxf>
    <dxf>
      <font>
        <name val="Aptos Narrow"/>
        <scheme val="minor"/>
      </font>
      <fill>
        <patternFill patternType="none">
          <bgColor auto="1"/>
        </patternFill>
      </fill>
      <alignment horizontal="center" vertical="center" textRotation="0" wrapText="1" indent="0" justifyLastLine="0" shrinkToFit="0" readingOrder="0"/>
      <border outline="0">
        <left style="thin">
          <color rgb="FF000000"/>
        </left>
        <right style="thin">
          <color rgb="FF000000"/>
        </right>
        <top style="thin">
          <color rgb="FF000000"/>
        </top>
        <bottom style="thin">
          <color rgb="FF000000"/>
        </bottom>
      </border>
    </dxf>
    <dxf>
      <alignment vertical="top" wrapText="1"/>
      <border>
        <left style="thin">
          <color rgb="FF000000"/>
        </left>
        <right style="thin">
          <color rgb="FF000000"/>
        </right>
        <top/>
        <bottom/>
        <vertical style="thin">
          <color rgb="FF000000"/>
        </vertical>
        <horizontal style="thin">
          <color rgb="FF000000"/>
        </horizontal>
      </border>
    </dxf>
    <dxf>
      <font>
        <name val="Aptos Narrow"/>
        <scheme val="minor"/>
      </font>
      <fill>
        <patternFill patternType="none">
          <bgColor auto="1"/>
        </patternFill>
      </fill>
      <alignment vertical="center" textRotation="0" wrapText="1" indent="0" justifyLastLine="0" shrinkToFit="0" readingOrder="0"/>
      <border outline="0">
        <left style="thin">
          <color rgb="FF000000"/>
        </left>
        <right style="thin">
          <color rgb="FF000000"/>
        </right>
        <top style="thin">
          <color rgb="FF000000"/>
        </top>
        <bottom style="thin">
          <color rgb="FF000000"/>
        </bottom>
      </border>
    </dxf>
    <dxf>
      <font>
        <name val="Aptos Narrow"/>
        <scheme val="minor"/>
      </font>
      <fill>
        <patternFill patternType="none">
          <bgColor auto="1"/>
        </patternFill>
      </fill>
      <alignment vertical="center" textRotation="0" wrapText="1" indent="0" justifyLastLine="0" shrinkToFit="0" readingOrder="0"/>
      <border outline="0">
        <left style="thin">
          <color rgb="FF000000"/>
        </left>
        <right/>
        <top style="thin">
          <color rgb="FF000000"/>
        </top>
        <bottom style="thin">
          <color rgb="FF000000"/>
        </bottom>
      </border>
    </dxf>
    <dxf>
      <font>
        <name val="Aptos Narrow"/>
        <scheme val="minor"/>
      </font>
      <fill>
        <patternFill patternType="none">
          <bgColor auto="1"/>
        </patternFill>
      </fill>
      <alignment vertical="center" textRotation="0" wrapText="1" indent="0" justifyLastLine="0" shrinkToFit="0" readingOrder="0"/>
      <border outline="0">
        <left style="thin">
          <color rgb="FF000000"/>
        </left>
        <right style="thin">
          <color rgb="FF000000"/>
        </right>
        <top style="thin">
          <color rgb="FF000000"/>
        </top>
        <bottom style="thin">
          <color rgb="FF000000"/>
        </bottom>
      </border>
    </dxf>
    <dxf>
      <font>
        <name val="Aptos Narrow"/>
        <scheme val="minor"/>
      </font>
      <fill>
        <patternFill patternType="none">
          <bgColor auto="1"/>
        </patternFill>
      </fill>
      <alignment vertical="center" textRotation="0" wrapText="1" indent="0" justifyLastLine="0" shrinkToFit="0" readingOrder="0"/>
      <border outline="0">
        <left style="thin">
          <color rgb="FF000000"/>
        </left>
        <right style="thin">
          <color rgb="FF000000"/>
        </right>
        <top style="thin">
          <color rgb="FF000000"/>
        </top>
        <bottom style="thin">
          <color rgb="FF000000"/>
        </bottom>
      </border>
    </dxf>
    <dxf>
      <font>
        <name val="Aptos Narrow"/>
        <scheme val="minor"/>
      </font>
      <alignment vertical="center" textRotation="0" wrapText="1" indent="0" justifyLastLine="0" shrinkToFit="0" readingOrder="0"/>
      <border outline="0">
        <left style="thin">
          <color rgb="FF000000"/>
        </left>
        <right style="thin">
          <color rgb="FF000000"/>
        </right>
        <top style="thin">
          <color rgb="FF000000"/>
        </top>
        <bottom style="thin">
          <color rgb="FF000000"/>
        </bottom>
      </border>
    </dxf>
    <dxf>
      <font>
        <name val="Aptos Narrow"/>
        <scheme val="minor"/>
      </font>
      <alignment vertical="center" textRotation="0" wrapText="1" indent="0" justifyLastLine="0" shrinkToFit="0" readingOrder="0"/>
      <border outline="0">
        <left style="thin">
          <color rgb="FF000000"/>
        </left>
        <right style="thin">
          <color rgb="FF000000"/>
        </right>
        <top style="thin">
          <color rgb="FF000000"/>
        </top>
        <bottom style="thin">
          <color rgb="FF000000"/>
        </bottom>
      </border>
    </dxf>
    <dxf>
      <font>
        <name val="Aptos Narrow"/>
        <scheme val="minor"/>
      </font>
      <alignment vertical="center" textRotation="0" wrapText="1" indent="0" justifyLastLine="0" shrinkToFit="0" readingOrder="0"/>
      <border outline="0">
        <left/>
        <right style="thin">
          <color rgb="FF000000"/>
        </right>
        <top style="thin">
          <color rgb="FF000000"/>
        </top>
        <bottom style="thin">
          <color rgb="FF000000"/>
        </bottom>
      </border>
    </dxf>
    <dxf>
      <alignment vertical="top" wrapText="1"/>
      <border>
        <left style="thin">
          <color rgb="FF000000"/>
        </left>
        <right style="thin">
          <color rgb="FF000000"/>
        </right>
        <top/>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border>
    </dxf>
    <dxf>
      <font>
        <name val="Aptos Narrow"/>
        <scheme val="minor"/>
      </font>
      <alignment vertical="center" textRotation="0" wrapText="1" indent="0" justifyLastLine="0" shrinkToFit="0" readingOrder="0"/>
    </dxf>
    <dxf>
      <border>
        <bottom style="thin">
          <color rgb="FF000000"/>
        </bottom>
      </border>
    </dxf>
    <dxf>
      <font>
        <b/>
        <i val="0"/>
        <strike val="0"/>
        <condense val="0"/>
        <extend val="0"/>
        <outline val="0"/>
        <shadow val="0"/>
        <u val="none"/>
        <vertAlign val="baseline"/>
        <sz val="11"/>
        <color theme="0"/>
        <name val="Aptos Narrow"/>
        <family val="2"/>
        <scheme val="minor"/>
      </font>
      <alignment horizontal="center" vertical="center" textRotation="0" wrapText="0" indent="0" justifyLastLine="0" shrinkToFit="0" readingOrder="0"/>
      <border diagonalUp="0" diagonalDown="0" outline="0">
        <left style="thin">
          <color rgb="FF000000"/>
        </left>
        <right style="thin">
          <color rgb="FF000000"/>
        </right>
        <top/>
        <bottom/>
      </border>
    </dxf>
    <dxf>
      <alignment vertical="center" textRotation="0" indent="0" justifyLastLine="0" shrinkToFit="0" readingOrder="0"/>
      <border outline="0">
        <left style="thin">
          <color rgb="FF000000"/>
        </left>
        <right style="thin">
          <color rgb="FF000000"/>
        </right>
        <top/>
        <bottom/>
      </border>
    </dxf>
    <dxf>
      <font>
        <name val="Aptos Narrow"/>
        <scheme val="minor"/>
      </font>
      <fill>
        <patternFill patternType="none">
          <bgColor auto="1"/>
        </patternFill>
      </fill>
      <alignment horizontal="left" vertical="center" textRotation="0" indent="0" justifyLastLine="0" shrinkToFit="0" readingOrder="0"/>
      <border outline="0">
        <left/>
        <right style="thin">
          <color rgb="FF000000"/>
        </right>
        <top style="thin">
          <color rgb="FF000000"/>
        </top>
        <bottom style="thin">
          <color rgb="FF000000"/>
        </bottom>
      </border>
    </dxf>
    <dxf>
      <border>
        <left style="thin">
          <color rgb="FF000000"/>
        </left>
        <right style="thin">
          <color rgb="FF000000"/>
        </right>
        <top/>
        <bottom/>
        <vertical style="thin">
          <color rgb="FF000000"/>
        </vertical>
        <horizontal style="thin">
          <color rgb="FF000000"/>
        </horizontal>
      </border>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alignment horizontal="left" vertical="center" textRotation="0" wrapText="1" indent="0" justifyLastLine="0" shrinkToFit="0" readingOrder="0"/>
      <border diagonalUp="0" diagonalDown="0">
        <left style="thin">
          <color rgb="FF000000"/>
        </left>
        <right/>
        <top style="thin">
          <color rgb="FF000000"/>
        </top>
        <bottom style="thin">
          <color rgb="FF000000"/>
        </bottom>
        <vertical/>
        <horizontal/>
      </border>
    </dxf>
    <dxf>
      <border>
        <left style="thin">
          <color rgb="FF000000"/>
        </left>
        <right style="thin">
          <color rgb="FF000000"/>
        </right>
        <top/>
        <bottom/>
        <vertical style="thin">
          <color rgb="FF000000"/>
        </vertical>
        <horizontal style="thin">
          <color rgb="FF000000"/>
        </horizontal>
      </border>
    </dxf>
    <dxf>
      <font>
        <name val="Aptos Narrow"/>
        <scheme val="minor"/>
      </font>
      <fill>
        <patternFill patternType="none">
          <bgColor auto="1"/>
        </patternFill>
      </fill>
      <alignment horizontal="left" vertical="center" textRotation="0" wrapText="1" indent="0" justifyLastLine="0" shrinkToFit="0" readingOrder="0"/>
      <border outline="0">
        <left style="thin">
          <color rgb="FF000000"/>
        </left>
        <right style="thin">
          <color rgb="FF000000"/>
        </right>
        <top style="thin">
          <color rgb="FF000000"/>
        </top>
        <bottom style="thin">
          <color rgb="FF000000"/>
        </bottom>
      </border>
    </dxf>
    <dxf>
      <font>
        <name val="Aptos Narrow"/>
        <scheme val="minor"/>
      </font>
      <fill>
        <patternFill patternType="none">
          <bgColor auto="1"/>
        </patternFill>
      </fill>
      <alignment horizontal="center" vertical="center" textRotation="0" wrapText="0" indent="0" justifyLastLine="0" shrinkToFit="0" readingOrder="0"/>
      <border outline="0">
        <left style="thin">
          <color rgb="FF000000"/>
        </left>
        <right style="thin">
          <color rgb="FF000000"/>
        </right>
        <top style="thin">
          <color rgb="FF000000"/>
        </top>
        <bottom style="thin">
          <color rgb="FF000000"/>
        </bottom>
      </border>
    </dxf>
    <dxf>
      <font>
        <name val="Aptos Narrow"/>
        <scheme val="minor"/>
      </font>
      <fill>
        <patternFill patternType="none">
          <bgColor auto="1"/>
        </patternFill>
      </fill>
      <alignment horizontal="center" vertical="center" textRotation="0" wrapText="0" indent="0" justifyLastLine="0" shrinkToFit="0" readingOrder="0"/>
      <border outline="0">
        <left style="thin">
          <color rgb="FF000000"/>
        </left>
        <right style="thin">
          <color rgb="FF000000"/>
        </right>
        <top style="thin">
          <color rgb="FF000000"/>
        </top>
        <bottom style="thin">
          <color rgb="FF000000"/>
        </bottom>
      </border>
    </dxf>
    <dxf>
      <font>
        <name val="Aptos Narrow"/>
        <scheme val="minor"/>
      </font>
      <fill>
        <patternFill patternType="none">
          <bgColor auto="1"/>
        </patternFill>
      </fill>
      <alignment horizontal="left" vertical="center" textRotation="0" indent="0" justifyLastLine="0" shrinkToFit="0" readingOrder="0"/>
      <border outline="0">
        <left style="thin">
          <color rgb="FF000000"/>
        </left>
        <right style="thin">
          <color rgb="FF000000"/>
        </right>
        <top style="thin">
          <color rgb="FF000000"/>
        </top>
        <bottom style="thin">
          <color rgb="FF000000"/>
        </bottom>
      </border>
    </dxf>
    <dxf>
      <font>
        <name val="Aptos Narrow"/>
        <scheme val="minor"/>
      </font>
      <fill>
        <patternFill patternType="none">
          <bgColor auto="1"/>
        </patternFill>
      </fill>
      <alignment horizontal="left" vertical="center" textRotation="0" indent="0" justifyLastLine="0" shrinkToFit="0" readingOrder="0"/>
      <border outline="0">
        <left style="thin">
          <color rgb="FF000000"/>
        </left>
        <right style="thin">
          <color rgb="FF000000"/>
        </right>
        <top style="thin">
          <color rgb="FF000000"/>
        </top>
        <bottom style="thin">
          <color rgb="FF000000"/>
        </bottom>
      </border>
    </dxf>
    <dxf>
      <font>
        <name val="Aptos Narrow"/>
        <scheme val="minor"/>
      </font>
      <fill>
        <patternFill patternType="none">
          <bgColor auto="1"/>
        </patternFill>
      </fill>
      <alignment horizontal="left" vertical="center" textRotation="0" indent="0" justifyLastLine="0" shrinkToFit="0" readingOrder="0"/>
      <border outline="0">
        <left style="thin">
          <color rgb="FF000000"/>
        </left>
        <right style="thin">
          <color rgb="FF000000"/>
        </right>
        <top style="thin">
          <color rgb="FF000000"/>
        </top>
        <bottom style="thin">
          <color rgb="FF000000"/>
        </bottom>
      </border>
    </dxf>
    <dxf>
      <font>
        <name val="Aptos Narrow"/>
        <scheme val="minor"/>
      </font>
      <fill>
        <patternFill patternType="none">
          <bgColor auto="1"/>
        </patternFill>
      </fill>
      <alignment horizontal="center" vertical="center" textRotation="0" indent="0" justifyLastLine="0" shrinkToFit="0" readingOrder="0"/>
      <border outline="0">
        <left style="thin">
          <color rgb="FF000000"/>
        </left>
        <right style="thin">
          <color rgb="FF000000"/>
        </right>
        <top style="thin">
          <color rgb="FF000000"/>
        </top>
        <bottom style="thin">
          <color rgb="FF000000"/>
        </bottom>
      </border>
    </dxf>
    <dxf>
      <font>
        <name val="Aptos Narrow"/>
        <scheme val="minor"/>
      </font>
      <fill>
        <patternFill patternType="none">
          <bgColor auto="1"/>
        </patternFill>
      </fill>
      <alignment horizontal="left" vertical="center" textRotation="0" indent="0" justifyLastLine="0" shrinkToFit="0" readingOrder="0"/>
      <border outline="0">
        <left style="thin">
          <color rgb="FF000000"/>
        </left>
        <right style="thin">
          <color rgb="FF000000"/>
        </right>
        <top style="thin">
          <color rgb="FF000000"/>
        </top>
        <bottom style="thin">
          <color rgb="FF000000"/>
        </bottom>
      </border>
    </dxf>
    <dxf>
      <font>
        <name val="Aptos Narrow"/>
        <scheme val="minor"/>
      </font>
      <fill>
        <patternFill patternType="none">
          <bgColor auto="1"/>
        </patternFill>
      </fill>
      <alignment horizontal="center" vertical="center" textRotation="0" indent="0" justifyLastLine="0" shrinkToFit="0" readingOrder="0"/>
      <border outline="0">
        <left/>
        <right style="thin">
          <color rgb="FF000000"/>
        </right>
        <top style="thin">
          <color rgb="FF000000"/>
        </top>
        <bottom style="thin">
          <color rgb="FF000000"/>
        </bottom>
      </border>
    </dxf>
    <dxf>
      <alignment vertical="center" textRotation="0" indent="0" justifyLastLine="0" shrinkToFit="0" readingOrder="0"/>
      <border outline="0">
        <left style="thin">
          <color rgb="FF000000"/>
        </left>
        <right style="thin">
          <color rgb="FF000000"/>
        </right>
        <top/>
        <bottom/>
      </border>
    </dxf>
    <dxf>
      <border>
        <left style="thin">
          <color rgb="FF000000"/>
        </left>
        <right style="thin">
          <color rgb="FF000000"/>
        </right>
        <top style="thin">
          <color rgb="FF000000"/>
        </top>
        <bottom style="thin">
          <color rgb="FF000000"/>
        </bottom>
      </border>
    </dxf>
    <dxf>
      <font>
        <name val="Aptos Narrow"/>
        <scheme val="minor"/>
      </font>
      <fill>
        <patternFill patternType="none">
          <bgColor auto="1"/>
        </patternFill>
      </fill>
      <alignment horizontal="left" vertical="center" textRotation="0" indent="0" justifyLastLine="0" shrinkToFit="0" readingOrder="0"/>
    </dxf>
    <dxf>
      <border>
        <bottom style="thin">
          <color rgb="FF000000"/>
        </bottom>
      </border>
    </dxf>
    <dxf>
      <font>
        <b/>
        <color theme="0"/>
      </font>
      <alignment horizontal="center" vertical="center" textRotation="0" wrapText="0" indent="0" justifyLastLine="0" shrinkToFit="0" readingOrder="0"/>
      <border outline="0">
        <left style="thin">
          <color rgb="FF000000"/>
        </left>
        <right style="thin">
          <color rgb="FF000000"/>
        </right>
        <top/>
        <bottom/>
      </border>
    </dxf>
    <dxf>
      <font>
        <name val="Aptos Narrow"/>
        <scheme val="minor"/>
      </font>
      <alignment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ptos Narrow"/>
        <scheme val="minor"/>
      </font>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name val="Aptos Narrow"/>
        <scheme val="minor"/>
      </font>
      <alignment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name val="Aptos Narrow"/>
        <scheme val="minor"/>
      </font>
      <alignment vertical="center" textRotation="0" indent="0" justifyLastLine="0" shrinkToFit="0" readingOrder="0"/>
      <border outline="0">
        <left style="thin">
          <color rgb="FF000000"/>
        </left>
        <right style="thin">
          <color rgb="FF000000"/>
        </right>
        <top style="thin">
          <color rgb="FF000000"/>
        </top>
        <bottom style="thin">
          <color rgb="FF000000"/>
        </bottom>
      </border>
    </dxf>
    <dxf>
      <font>
        <name val="Aptos Narrow"/>
        <scheme val="minor"/>
      </font>
      <alignment horizontal="center" vertical="center" textRotation="0" indent="0" justifyLastLine="0" shrinkToFit="0" readingOrder="0"/>
      <border outline="0">
        <left style="thin">
          <color rgb="FF000000"/>
        </left>
        <right style="thin">
          <color rgb="FF000000"/>
        </right>
        <top style="thin">
          <color rgb="FF000000"/>
        </top>
        <bottom style="thin">
          <color rgb="FF000000"/>
        </bottom>
      </border>
    </dxf>
    <dxf>
      <font>
        <name val="Aptos Narrow"/>
        <scheme val="minor"/>
      </font>
      <alignment vertical="center" textRotation="0" indent="0" justifyLastLine="0" shrinkToFit="0" readingOrder="0"/>
    </dxf>
    <dxf>
      <font>
        <name val="Aptos Narrow"/>
        <scheme val="minor"/>
      </font>
      <alignment vertical="center" textRotation="0" indent="0" justifyLastLine="0" shrinkToFit="0" readingOrder="0"/>
    </dxf>
    <dxf>
      <font>
        <name val="Aptos Narrow"/>
        <scheme val="minor"/>
      </font>
      <alignment horizontal="center" vertical="center" textRotation="0" indent="0" justifyLastLine="0" shrinkToFit="0" readingOrder="0"/>
    </dxf>
    <dxf>
      <font>
        <name val="Aptos Narrow"/>
        <scheme val="minor"/>
      </font>
      <alignment vertical="center" textRotation="0" wrapText="1" indent="0" justifyLastLine="0" shrinkToFit="0" readingOrder="0"/>
    </dxf>
    <dxf>
      <font>
        <name val="Aptos Narrow"/>
        <scheme val="minor"/>
      </font>
      <alignment vertical="center" textRotation="0" indent="0" justifyLastLine="0" shrinkToFit="0" readingOrder="0"/>
    </dxf>
    <dxf>
      <font>
        <name val="Aptos Narrow"/>
        <scheme val="minor"/>
      </font>
      <alignment vertical="center" textRotation="0" indent="0" justifyLastLine="0" shrinkToFit="0" readingOrder="0"/>
    </dxf>
    <dxf>
      <font>
        <b/>
      </font>
      <alignment horizontal="center" vertical="center" textRotation="0" indent="0" justifyLastLine="0" shrinkToFit="0" readingOrder="0"/>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73F6B"/>
        </left>
        <right style="thin">
          <color rgb="FF373F6B"/>
        </right>
        <top style="thin">
          <color rgb="FF373F6B"/>
        </top>
        <bottom style="thin">
          <color rgb="FF373F6B"/>
        </bottom>
      </border>
    </dxf>
    <dxf>
      <fill>
        <patternFill patternType="solid">
          <fgColor rgb="FFF6F8F9"/>
          <bgColor rgb="FFF6F8F9"/>
        </patternFill>
      </fill>
    </dxf>
    <dxf>
      <fill>
        <patternFill patternType="solid">
          <fgColor rgb="FFFFFFFF"/>
          <bgColor rgb="FFFFFFFF"/>
        </patternFill>
      </fill>
    </dxf>
    <dxf>
      <fill>
        <patternFill patternType="solid">
          <fgColor rgb="FF690808"/>
          <bgColor rgb="FF690808"/>
        </patternFill>
      </fill>
    </dxf>
    <dxf>
      <border>
        <left style="thin">
          <color rgb="FF373F6B"/>
        </left>
        <right style="thin">
          <color rgb="FF373F6B"/>
        </right>
        <top style="thin">
          <color rgb="FF373F6B"/>
        </top>
        <bottom style="thin">
          <color rgb="FF373F6B"/>
        </bottom>
      </border>
    </dxf>
    <dxf>
      <fill>
        <patternFill patternType="solid">
          <fgColor rgb="FFF6F8F9"/>
          <bgColor rgb="FFF6F8F9"/>
        </patternFill>
      </fill>
    </dxf>
    <dxf>
      <fill>
        <patternFill patternType="solid">
          <fgColor rgb="FFFFFFFF"/>
          <bgColor rgb="FFFFFFFF"/>
        </patternFill>
      </fill>
    </dxf>
    <dxf>
      <fill>
        <patternFill patternType="solid">
          <fgColor rgb="FF690808"/>
          <bgColor rgb="FF690808"/>
        </patternFill>
      </fill>
    </dxf>
    <dxf>
      <border>
        <left style="thin">
          <color rgb="FF373F6B"/>
        </left>
        <right style="thin">
          <color rgb="FF373F6B"/>
        </right>
        <top style="thin">
          <color rgb="FF373F6B"/>
        </top>
        <bottom style="thin">
          <color rgb="FF373F6B"/>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73F6B"/>
        </left>
        <right style="thin">
          <color rgb="FF373F6B"/>
        </right>
        <top style="thin">
          <color rgb="FF373F6B"/>
        </top>
        <bottom style="thin">
          <color rgb="FF373F6B"/>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73F6B"/>
        </left>
        <right style="thin">
          <color rgb="FF373F6B"/>
        </right>
        <top style="thin">
          <color rgb="FF373F6B"/>
        </top>
        <bottom style="thin">
          <color rgb="FF373F6B"/>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73F6B"/>
        </left>
        <right style="thin">
          <color rgb="FF373F6B"/>
        </right>
        <top style="thin">
          <color rgb="FF373F6B"/>
        </top>
        <bottom style="thin">
          <color rgb="FF373F6B"/>
        </bottom>
      </border>
    </dxf>
    <dxf>
      <fill>
        <patternFill patternType="solid">
          <fgColor rgb="FFF6F8F9"/>
          <bgColor rgb="FFF6F8F9"/>
        </patternFill>
      </fill>
    </dxf>
    <dxf>
      <fill>
        <patternFill patternType="solid">
          <fgColor rgb="FFFFFFFF"/>
          <bgColor rgb="FFFFFFFF"/>
        </patternFill>
      </fill>
    </dxf>
    <dxf>
      <fill>
        <patternFill patternType="solid">
          <fgColor rgb="FF373F6B"/>
          <bgColor rgb="FF373F6B"/>
        </patternFill>
      </fill>
    </dxf>
    <dxf>
      <border>
        <left style="thin">
          <color rgb="FF373F6B"/>
        </left>
        <right style="thin">
          <color rgb="FF373F6B"/>
        </right>
        <top style="thin">
          <color rgb="FF373F6B"/>
        </top>
        <bottom style="thin">
          <color rgb="FF373F6B"/>
        </bottom>
      </border>
    </dxf>
    <dxf>
      <fill>
        <patternFill patternType="solid">
          <fgColor rgb="FFF6F8F9"/>
          <bgColor rgb="FFF6F8F9"/>
        </patternFill>
      </fill>
    </dxf>
    <dxf>
      <fill>
        <patternFill patternType="solid">
          <fgColor rgb="FFFFFFFF"/>
          <bgColor rgb="FFFFFFFF"/>
        </patternFill>
      </fill>
    </dxf>
    <dxf>
      <fill>
        <patternFill patternType="solid">
          <fgColor rgb="FF373F6B"/>
          <bgColor rgb="FF373F6B"/>
        </patternFill>
      </fill>
    </dxf>
    <dxf>
      <border>
        <left style="thin">
          <color rgb="FF373F6B"/>
        </left>
        <right style="thin">
          <color rgb="FF373F6B"/>
        </right>
        <top style="thin">
          <color rgb="FF373F6B"/>
        </top>
        <bottom style="thin">
          <color rgb="FF373F6B"/>
        </bottom>
      </border>
    </dxf>
    <dxf>
      <fill>
        <patternFill patternType="solid">
          <fgColor rgb="FFF6F8F9"/>
          <bgColor rgb="FFF6F8F9"/>
        </patternFill>
      </fill>
    </dxf>
    <dxf>
      <fill>
        <patternFill patternType="solid">
          <fgColor rgb="FFFFFFFF"/>
          <bgColor rgb="FFFFFFFF"/>
        </patternFill>
      </fill>
    </dxf>
    <dxf>
      <fill>
        <patternFill patternType="solid">
          <fgColor rgb="FF373F6B"/>
          <bgColor rgb="FF373F6B"/>
        </patternFill>
      </fill>
    </dxf>
    <dxf>
      <border>
        <left style="thin">
          <color rgb="FF373F6B"/>
        </left>
        <right style="thin">
          <color rgb="FF373F6B"/>
        </right>
        <top style="thin">
          <color rgb="FF373F6B"/>
        </top>
        <bottom style="thin">
          <color rgb="FF373F6B"/>
        </bottom>
      </border>
    </dxf>
  </dxfs>
  <tableStyles count="9">
    <tableStyle name="INDUK PAM JAYA-style" pivot="0" count="4" xr9:uid="{00000000-0011-0000-FFFF-FFFF00000000}">
      <tableStyleElement type="wholeTable" size="0" dxfId="90"/>
      <tableStyleElement type="headerRow" dxfId="89"/>
      <tableStyleElement type="firstRowStripe" dxfId="88"/>
      <tableStyleElement type="secondRowStripe" dxfId="87"/>
    </tableStyle>
    <tableStyle name="Greenfield PAM JAYA-style" pivot="0" count="4" xr9:uid="{00000000-0011-0000-FFFF-FFFF01000000}">
      <tableStyleElement type="wholeTable" size="0" dxfId="86"/>
      <tableStyleElement type="headerRow" dxfId="85"/>
      <tableStyleElement type="firstRowStripe" dxfId="84"/>
      <tableStyleElement type="secondRowStripe" dxfId="83"/>
    </tableStyle>
    <tableStyle name="Brownfield PAM JAYA-style" pivot="0" count="4" xr9:uid="{00000000-0011-0000-FFFF-FFFF02000000}">
      <tableStyleElement type="wholeTable" size="0" dxfId="82"/>
      <tableStyleElement type="headerRow" dxfId="81"/>
      <tableStyleElement type="firstRowStripe" dxfId="80"/>
      <tableStyleElement type="secondRowStripe" dxfId="79"/>
    </tableStyle>
    <tableStyle name="INDUK PT ABJ -style" pivot="0" count="4" xr9:uid="{00000000-0011-0000-FFFF-FFFF03000000}">
      <tableStyleElement type="wholeTable" size="0" dxfId="78"/>
      <tableStyleElement type="headerRow" dxfId="77"/>
      <tableStyleElement type="firstRowStripe" dxfId="76"/>
      <tableStyleElement type="secondRowStripe" dxfId="75"/>
    </tableStyle>
    <tableStyle name="Greenfield PT ABJ-style" pivot="0" count="4" xr9:uid="{00000000-0011-0000-FFFF-FFFF04000000}">
      <tableStyleElement type="wholeTable" size="0" dxfId="74"/>
      <tableStyleElement type="headerRow" dxfId="73"/>
      <tableStyleElement type="firstRowStripe" dxfId="72"/>
      <tableStyleElement type="secondRowStripe" dxfId="71"/>
    </tableStyle>
    <tableStyle name="Brownfield PT ABJ-style" pivot="0" count="4" xr9:uid="{00000000-0011-0000-FFFF-FFFF05000000}">
      <tableStyleElement type="wholeTable" size="0" dxfId="70"/>
      <tableStyleElement type="headerRow" dxfId="69"/>
      <tableStyleElement type="firstRowStripe" dxfId="68"/>
      <tableStyleElement type="secondRowStripe" dxfId="67"/>
    </tableStyle>
    <tableStyle name="KPI Induk-style" pivot="0" count="4" xr9:uid="{00000000-0011-0000-FFFF-FFFF06000000}">
      <tableStyleElement type="wholeTable" size="0" dxfId="66"/>
      <tableStyleElement type="headerRow" dxfId="65"/>
      <tableStyleElement type="firstRowStripe" dxfId="64"/>
      <tableStyleElement type="secondRowStripe" dxfId="63"/>
    </tableStyle>
    <tableStyle name="KPI Brownfield -style" pivot="0" count="4" xr9:uid="{00000000-0011-0000-FFFF-FFFF07000000}">
      <tableStyleElement type="wholeTable" size="0" dxfId="62"/>
      <tableStyleElement type="headerRow" dxfId="61"/>
      <tableStyleElement type="firstRowStripe" dxfId="60"/>
      <tableStyleElement type="secondRowStripe" dxfId="59"/>
    </tableStyle>
    <tableStyle name="KPI Greenfield-style" pivot="0" count="4" xr9:uid="{00000000-0011-0000-FFFF-FFFF08000000}">
      <tableStyleElement type="wholeTable" size="0" dxfId="58"/>
      <tableStyleElement type="headerRow" dxfId="57"/>
      <tableStyleElement type="firstRowStripe" dxfId="56"/>
      <tableStyleElement type="secondRowStripe" dxfId="55"/>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12" Type="http://schemas.microsoft.com/office/2022/11/relationships/FeaturePropertyBag" Target="featurePropertyBag/featurePropertyBag.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1" displayName="Table1" ref="A2:L48" headerRowDxfId="54" dataDxfId="53">
  <autoFilter ref="A2:L48" xr:uid="{00000000-000C-0000-FFFF-FFFF03000000}"/>
  <tableColumns count="12">
    <tableColumn id="1" xr3:uid="{00000000-0010-0000-0300-000001000000}" name="No" dataDxfId="52"/>
    <tableColumn id="2" xr3:uid="{00000000-0010-0000-0300-000002000000}" name="Tentang" dataDxfId="51"/>
    <tableColumn id="3" xr3:uid="{00000000-0010-0000-0300-000003000000}" name="Dasar Hukum" dataDxfId="50"/>
    <tableColumn id="4" xr3:uid="{00000000-0010-0000-0300-000004000000}" name="Bukti" dataDxfId="49"/>
    <tableColumn id="5" xr3:uid="{00000000-0010-0000-0300-000005000000}" name="Status" dataDxfId="48"/>
    <tableColumn id="6" xr3:uid="{00000000-0010-0000-0300-000006000000}" name="Link Evidence" dataDxfId="3"/>
    <tableColumn id="7" xr3:uid="{0E1DEA48-32C1-4902-8CD0-B40BFFB80BB6}" name="Implementasi " dataDxfId="47"/>
    <tableColumn id="8" xr3:uid="{E457B3F0-2557-4700-8023-81948A839CED}" name="Score" dataDxfId="46"/>
    <tableColumn id="9" xr3:uid="{54795E42-BAA4-43A1-BD2D-E67E7C3475CB}" name="Keterangan" dataDxfId="45"/>
    <tableColumn id="11" xr3:uid="{8549D2A2-BF73-4F74-BECC-A7F390EAAE55}" name="Tindak Lanjut" dataDxfId="44"/>
    <tableColumn id="12" xr3:uid="{2C0EA396-7427-410E-8F33-30E7CC31A46F}" name="PIC" dataDxfId="4"/>
    <tableColumn id="10" xr3:uid="{39960635-D71A-4650-A77B-6E249C5C97D7}" name="Tenggat Waktu" dataDxfId="43"/>
  </tableColumns>
  <tableStyleInfo name="INDUK PT ABJ -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2" displayName="Table2" ref="A2:M105" headerRowDxfId="42" dataDxfId="40" totalsRowDxfId="38" headerRowBorderDxfId="41" tableBorderDxfId="39">
  <autoFilter ref="A2:M105" xr:uid="{00000000-000C-0000-FFFF-FFFF04000000}"/>
  <tableColumns count="13">
    <tableColumn id="1" xr3:uid="{00000000-0010-0000-0400-000001000000}" name="No" dataDxfId="37"/>
    <tableColumn id="12" xr3:uid="{3E4EBA31-F589-45C2-A57F-628B21638312}" name="Kategori" dataDxfId="2"/>
    <tableColumn id="2" xr3:uid="{00000000-0010-0000-0400-000002000000}" name="Tentang" dataDxfId="36"/>
    <tableColumn id="3" xr3:uid="{00000000-0010-0000-0400-000003000000}" name="Dasar Hukum" dataDxfId="35"/>
    <tableColumn id="4" xr3:uid="{00000000-0010-0000-0400-000004000000}" name="Bukti" dataDxfId="34"/>
    <tableColumn id="5" xr3:uid="{00000000-0010-0000-0400-000005000000}" name="Status" dataDxfId="33"/>
    <tableColumn id="6" xr3:uid="{00000000-0010-0000-0400-000006000000}" name="Link Evidence" dataDxfId="32"/>
    <tableColumn id="7" xr3:uid="{63F9660F-E919-48B3-86A0-EB7404E3F5A3}" name="Implementasi" dataDxfId="31"/>
    <tableColumn id="8" xr3:uid="{64369306-8A1A-4577-A413-9694BCE3559B}" name="Score" dataDxfId="30"/>
    <tableColumn id="10" xr3:uid="{506C301D-AF65-4010-8F33-0E6C6EE6DD15}" name="Keterangan" dataDxfId="29" totalsRowDxfId="28"/>
    <tableColumn id="11" xr3:uid="{EB5EA40E-1176-4F90-9489-DD0BC9140932}" name="Tindak Lanjut" dataDxfId="27" totalsRowDxfId="26"/>
    <tableColumn id="13" xr3:uid="{BA85E002-FED6-42CE-8165-E60F7EFAFF49}" name="PIC" dataDxfId="0" totalsRowDxfId="1"/>
    <tableColumn id="9" xr3:uid="{CCAA36DA-D68C-48D6-863E-3C4C7E60B9AE}" name="Tenggat Waktu" dataDxfId="25" totalsRowDxfId="24"/>
  </tableColumns>
  <tableStyleInfo name="Greenfield PT ABJ-style"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3" displayName="Table3" ref="A2:J78" headerRowDxfId="23" dataDxfId="21" totalsRowDxfId="19" headerRowBorderDxfId="22" tableBorderDxfId="20">
  <autoFilter ref="A2:J78" xr:uid="{00000000-000C-0000-FFFF-FFFF05000000}"/>
  <tableColumns count="10">
    <tableColumn id="1" xr3:uid="{00000000-0010-0000-0500-000001000000}" name="No" dataDxfId="18"/>
    <tableColumn id="2" xr3:uid="{00000000-0010-0000-0500-000002000000}" name="Tentang" dataDxfId="17"/>
    <tableColumn id="3" xr3:uid="{00000000-0010-0000-0500-000003000000}" name="Dasar Hukum" dataDxfId="16"/>
    <tableColumn id="4" xr3:uid="{00000000-0010-0000-0500-000004000000}" name="Bukti" dataDxfId="15"/>
    <tableColumn id="5" xr3:uid="{00000000-0010-0000-0500-000005000000}" name="Status" dataDxfId="14"/>
    <tableColumn id="6" xr3:uid="{00000000-0010-0000-0500-000006000000}" name="Evidence" dataDxfId="13"/>
    <tableColumn id="7" xr3:uid="{5CD8CC3B-3E26-483D-A9D6-E8C720578822}" name="Implementasi" dataDxfId="12" totalsRowDxfId="11"/>
    <tableColumn id="8" xr3:uid="{28BF5B98-1BA5-46C3-9D39-8153B7097CC8}" name="Score" dataDxfId="10" totalsRowDxfId="9"/>
    <tableColumn id="9" xr3:uid="{1EDE3943-AEFF-4057-8860-15BE26E88DC3}" name="Keterangan" dataDxfId="8" totalsRowDxfId="7"/>
    <tableColumn id="10" xr3:uid="{E2FAB84D-3918-4D93-951C-109B87C2B860}" name="PIC" dataDxfId="6" totalsRowDxfId="5"/>
  </tableColumns>
  <tableStyleInfo name="Brownfield PT ABJ-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7">
    <wetp:webextensionref xmlns:r="http://schemas.openxmlformats.org/officeDocument/2006/relationships" r:id="rId1"/>
  </wetp:taskpane>
</wetp:taskpanes>
</file>

<file path=xl/webextensions/webextension1.xml><?xml version="1.0" encoding="utf-8"?>
<we:webextension xmlns:we="http://schemas.microsoft.com/office/webextensions/webextension/2010/11" id="{3CCB5C10-E450-436C-BB8F-3B2464A44BC3}">
  <we:reference id="WA200005502" version="1.0.0.12" store="en-us" storeType="omex"/>
  <we:alternateReferences>
    <we:reference id="WA200005502" version="1.0.0.12" store="en-us" storeType="omex"/>
  </we:alternateReferences>
  <we:properties>
    <we:property name="docId" value="&quot;uj0GgNXOml5vkzSoOBHiV&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1.xml.rels><?xml version="1.0" encoding="UTF-8" standalone="yes"?>
<Relationships xmlns="http://schemas.openxmlformats.org/package/2006/relationships"><Relationship Id="rId8" Type="http://schemas.openxmlformats.org/officeDocument/2006/relationships/hyperlink" Target="https://moyaasia1-my.sharepoint.com/:f:/g/personal/it_support_moyaasia_com/IgBDSqOAebUdR7LPEZsJUiUCAXOGyTmxBRuEHIDyENp89fY?e=KorX7a" TargetMode="External"/><Relationship Id="rId13" Type="http://schemas.openxmlformats.org/officeDocument/2006/relationships/hyperlink" Target="https://moyaasia1-my.sharepoint.com/:f:/g/personal/it_support_moyaasia_com/IgCUL7ICw6-SSJS6YpkwrTHRAX3QmSJG-H-bnC16Of4VMGo?e=QlBJN8" TargetMode="External"/><Relationship Id="rId18" Type="http://schemas.openxmlformats.org/officeDocument/2006/relationships/hyperlink" Target="https://moyaasia1-my.sharepoint.com/:f:/g/personal/it_support_moyaasia_com/IgC2DnM01lkoTpLnb5AqEh8pAWDSr7flwPaaoCFjHzZEzsg?e=dswycU" TargetMode="External"/><Relationship Id="rId3" Type="http://schemas.openxmlformats.org/officeDocument/2006/relationships/hyperlink" Target="https://moyaasia1-my.sharepoint.com/:f:/g/personal/it_support_moyaasia_com/IgANNYX-LuM1QYx60XbnAWS1AQlUerydNAi5q8R76IAV1Yc?e=nDLrdB" TargetMode="External"/><Relationship Id="rId7" Type="http://schemas.openxmlformats.org/officeDocument/2006/relationships/hyperlink" Target="https://moyaasia1-my.sharepoint.com/:f:/g/personal/it_support_moyaasia_com/IgBwjBwAC7F6Rre2RgzT6cN2AZNU9uZadUzuG2CCPlgGU1c?e=wRpKlI" TargetMode="External"/><Relationship Id="rId12" Type="http://schemas.openxmlformats.org/officeDocument/2006/relationships/hyperlink" Target="https://moyaasia1-my.sharepoint.com/:f:/g/personal/it_support_moyaasia_com/IgDagIg8mPvNTJJtTmpTC1fYARjR6RuWWF543RpkDq3q924?e=3K1Dc6" TargetMode="External"/><Relationship Id="rId17" Type="http://schemas.openxmlformats.org/officeDocument/2006/relationships/hyperlink" Target="https://moyaasia1-my.sharepoint.com/:f:/g/personal/it_support_moyaasia_com/IgC9cig6ZhOZSYE20LYJgQcBAbz2AIKpWSCnVqfMHuochNs?e=AU54Bx" TargetMode="External"/><Relationship Id="rId2" Type="http://schemas.openxmlformats.org/officeDocument/2006/relationships/hyperlink" Target="https://moyaasia1-my.sharepoint.com/:f:/g/personal/it_support_moyaasia_com/IgBc5pJmc7i2S4QGpzyAzTmiATQt3hIlGqSEDI604vWaCkQ?e=EoNk4m" TargetMode="External"/><Relationship Id="rId16" Type="http://schemas.openxmlformats.org/officeDocument/2006/relationships/hyperlink" Target="https://moyaasia1-my.sharepoint.com/:f:/g/personal/it_support_moyaasia_com/IgB7tbGqePZERKvgoauPbUy_AfOSuqYuPNoTrdREP23OGWs?e=LYQVvV" TargetMode="External"/><Relationship Id="rId20" Type="http://schemas.openxmlformats.org/officeDocument/2006/relationships/table" Target="../tables/table1.xml"/><Relationship Id="rId1" Type="http://schemas.openxmlformats.org/officeDocument/2006/relationships/hyperlink" Target="https://moyaasia1-my.sharepoint.com/:f:/g/personal/it_support_moyaasia_com/IgAyZ9T4M6JgQZQ2vSiwJT8MAUlk24JW6_BbMT0sxeDqock?e=BQyeuC" TargetMode="External"/><Relationship Id="rId6" Type="http://schemas.openxmlformats.org/officeDocument/2006/relationships/hyperlink" Target="https://moyaasia1-my.sharepoint.com/:f:/g/personal/it_support_moyaasia_com/IgCeIiI4TqqJR7PFrALpA3RuAYRofor5fgDXgdc2P9_xmxA?e=pZZQrW" TargetMode="External"/><Relationship Id="rId11" Type="http://schemas.openxmlformats.org/officeDocument/2006/relationships/hyperlink" Target="https://moyaasia1-my.sharepoint.com/:f:/g/personal/it_support_moyaasia_com/IgDagIg8mPvNTJJtTmpTC1fYARjR6RuWWF543RpkDq3q924?e=3K1Dc6" TargetMode="External"/><Relationship Id="rId5" Type="http://schemas.openxmlformats.org/officeDocument/2006/relationships/hyperlink" Target="https://moyaasia1-my.sharepoint.com/:f:/g/personal/it_support_moyaasia_com/IgBARC-rB5VTS7gVYNKs2EduAVwOSKSmRJq_QGL5IUADnCw?e=QEQiBk" TargetMode="External"/><Relationship Id="rId15" Type="http://schemas.openxmlformats.org/officeDocument/2006/relationships/hyperlink" Target="https://moyaasia1-my.sharepoint.com/:f:/g/personal/it_support_moyaasia_com/IgC34LED0885S4gjeBuHw4cSAVL9GdB9od9H8zaYlvhN88o?e=dKdGwI" TargetMode="External"/><Relationship Id="rId10" Type="http://schemas.openxmlformats.org/officeDocument/2006/relationships/hyperlink" Target="https://moyaasia1-my.sharepoint.com/:f:/g/personal/it_support_moyaasia_com/IgDagIg8mPvNTJJtTmpTC1fYARjR6RuWWF543RpkDq3q924?e=3K1Dc6" TargetMode="External"/><Relationship Id="rId19" Type="http://schemas.openxmlformats.org/officeDocument/2006/relationships/printerSettings" Target="../printerSettings/printerSettings1.bin"/><Relationship Id="rId4" Type="http://schemas.openxmlformats.org/officeDocument/2006/relationships/hyperlink" Target="https://moyaasia1-my.sharepoint.com/:f:/g/personal/it_support_moyaasia_com/IgBcLlVa0VmrRoPni0FDrSEYAa0BR9dAyNrUSWVspUMjOb8?e=XJnqnq" TargetMode="External"/><Relationship Id="rId9" Type="http://schemas.openxmlformats.org/officeDocument/2006/relationships/hyperlink" Target="https://moyaasia1-my.sharepoint.com/:f:/g/personal/it_support_moyaasia_com/IgDagIg8mPvNTJJtTmpTC1fYARjR6RuWWF543RpkDq3q924?e=3K1Dc6" TargetMode="External"/><Relationship Id="rId14" Type="http://schemas.openxmlformats.org/officeDocument/2006/relationships/hyperlink" Target="https://moyaasia1-my.sharepoint.com/:f:/g/personal/it_support_moyaasia_com/IgCwoA4YqbXsR7cexMTPlUeZAeGsz3rwf8HIYefe1ThPVDA?e=GTQHJ5"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moyaasia1-my.sharepoint.com/:f:/g/personal/it_support_moyaasia_com/IgAdBMWFX2leTqa-SdvwJvwRASHmh1RrNqOFUeDTIZOA8x0?e=HLcrlK" TargetMode="External"/><Relationship Id="rId2" Type="http://schemas.openxmlformats.org/officeDocument/2006/relationships/hyperlink" Target="https://moyaasia1-my.sharepoint.com/:f:/g/personal/it_support_moyaasia_com/IgAHRKY1Y09tTJHsnWyl3fIJARzhaRAgdtwjc1uzM4i27yA?e=E7KWdp" TargetMode="External"/><Relationship Id="rId1" Type="http://schemas.openxmlformats.org/officeDocument/2006/relationships/hyperlink" Target="https://moyaasia1-my.sharepoint.com/:f:/g/personal/it_support_moyaasia_com/IgCxxrMADAnHTK-EMncr1ordATfWYVBcGOGt1UZPhr_iFUg?e=qx3Jdw" TargetMode="External"/><Relationship Id="rId6" Type="http://schemas.openxmlformats.org/officeDocument/2006/relationships/table" Target="../tables/table2.xml"/><Relationship Id="rId5" Type="http://schemas.openxmlformats.org/officeDocument/2006/relationships/printerSettings" Target="../printerSettings/printerSettings2.bin"/><Relationship Id="rId4" Type="http://schemas.openxmlformats.org/officeDocument/2006/relationships/hyperlink" Target="https://moyaasia1-my.sharepoint.com/:f:/g/personal/it_support_moyaasia_com/IgB94WGgX1EqRKt0oRBoK_qIAbKFjz_OvDfnt0cMDL737Q8?e=TWnHYP" TargetMode="Externa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861"/>
  <sheetViews>
    <sheetView zoomScale="60" zoomScaleNormal="60" workbookViewId="0">
      <pane xSplit="5" ySplit="2" topLeftCell="G3" activePane="bottomRight" state="frozen"/>
      <selection pane="topRight" activeCell="F1" sqref="F1"/>
      <selection pane="bottomLeft" activeCell="A3" sqref="A3"/>
      <selection pane="bottomRight" activeCell="L37" sqref="L37"/>
    </sheetView>
  </sheetViews>
  <sheetFormatPr defaultColWidth="12.59765625" defaultRowHeight="15" customHeight="1"/>
  <cols>
    <col min="1" max="1" width="7.09765625" customWidth="1"/>
    <col min="2" max="2" width="28.296875" style="23" customWidth="1"/>
    <col min="3" max="3" width="24.8984375" style="10" customWidth="1"/>
    <col min="4" max="4" width="46.296875" customWidth="1"/>
    <col min="5" max="5" width="14.59765625" style="9" customWidth="1"/>
    <col min="6" max="6" width="37.8984375" style="181" customWidth="1"/>
    <col min="7" max="7" width="20.59765625" style="11" customWidth="1"/>
    <col min="8" max="8" width="8.59765625" customWidth="1"/>
    <col min="9" max="9" width="69" customWidth="1"/>
    <col min="10" max="10" width="45.796875" customWidth="1"/>
    <col min="11" max="12" width="20.796875" bestFit="1" customWidth="1"/>
    <col min="13" max="26" width="8.59765625" customWidth="1"/>
  </cols>
  <sheetData>
    <row r="1" spans="1:12" ht="14.25" customHeight="1">
      <c r="A1" s="1"/>
      <c r="B1" s="19"/>
      <c r="C1" s="4"/>
      <c r="D1" s="2"/>
      <c r="E1" s="4"/>
    </row>
    <row r="2" spans="1:12" ht="23.4" customHeight="1">
      <c r="A2" s="29" t="s">
        <v>0</v>
      </c>
      <c r="B2" s="30" t="s">
        <v>1</v>
      </c>
      <c r="C2" s="29" t="s">
        <v>2</v>
      </c>
      <c r="D2" s="29" t="s">
        <v>3</v>
      </c>
      <c r="E2" s="29" t="s">
        <v>4</v>
      </c>
      <c r="F2" s="182" t="s">
        <v>549</v>
      </c>
      <c r="G2" s="31" t="s">
        <v>63</v>
      </c>
      <c r="H2" s="32" t="s">
        <v>527</v>
      </c>
      <c r="I2" s="33" t="s">
        <v>5</v>
      </c>
      <c r="J2" s="33" t="s">
        <v>550</v>
      </c>
      <c r="K2" s="33" t="s">
        <v>21</v>
      </c>
      <c r="L2" s="33" t="s">
        <v>689</v>
      </c>
    </row>
    <row r="3" spans="1:12" ht="69">
      <c r="A3" s="24">
        <v>1</v>
      </c>
      <c r="B3" s="20" t="s">
        <v>64</v>
      </c>
      <c r="C3" s="24" t="s">
        <v>65</v>
      </c>
      <c r="D3" s="16" t="s">
        <v>66</v>
      </c>
      <c r="E3" s="25" t="s">
        <v>7</v>
      </c>
      <c r="F3" s="128" t="s">
        <v>585</v>
      </c>
      <c r="G3" s="12" t="s">
        <v>14</v>
      </c>
      <c r="H3" s="67">
        <v>1</v>
      </c>
      <c r="I3" s="57"/>
      <c r="J3" s="57"/>
      <c r="K3" s="34" t="s">
        <v>553</v>
      </c>
      <c r="L3" s="34"/>
    </row>
    <row r="4" spans="1:12" ht="82.8">
      <c r="A4" s="24">
        <v>2</v>
      </c>
      <c r="B4" s="20" t="s">
        <v>6</v>
      </c>
      <c r="C4" s="24" t="s">
        <v>67</v>
      </c>
      <c r="D4" s="20" t="s">
        <v>68</v>
      </c>
      <c r="E4" s="24" t="s">
        <v>7</v>
      </c>
      <c r="F4" s="26" t="s">
        <v>586</v>
      </c>
      <c r="G4" s="12" t="s">
        <v>14</v>
      </c>
      <c r="H4" s="67">
        <v>1</v>
      </c>
      <c r="I4" s="34"/>
      <c r="J4" s="34"/>
      <c r="K4" s="34" t="s">
        <v>553</v>
      </c>
      <c r="L4" s="34"/>
    </row>
    <row r="5" spans="1:12" ht="41.4">
      <c r="A5" s="175">
        <v>3</v>
      </c>
      <c r="B5" s="176" t="s">
        <v>652</v>
      </c>
      <c r="C5" s="175" t="s">
        <v>653</v>
      </c>
      <c r="D5" s="176" t="s">
        <v>677</v>
      </c>
      <c r="E5" s="175" t="s">
        <v>7</v>
      </c>
      <c r="F5" s="177"/>
      <c r="G5" s="178" t="s">
        <v>14</v>
      </c>
      <c r="H5" s="178">
        <v>1</v>
      </c>
      <c r="I5" s="34" t="s">
        <v>678</v>
      </c>
      <c r="J5" s="34"/>
      <c r="K5" s="34" t="s">
        <v>682</v>
      </c>
      <c r="L5" s="34"/>
    </row>
    <row r="6" spans="1:12" ht="41.4">
      <c r="A6" s="24">
        <v>4</v>
      </c>
      <c r="B6" s="176" t="s">
        <v>654</v>
      </c>
      <c r="C6" s="175" t="s">
        <v>655</v>
      </c>
      <c r="D6" s="176" t="s">
        <v>656</v>
      </c>
      <c r="E6" s="175" t="s">
        <v>7</v>
      </c>
      <c r="F6" s="177"/>
      <c r="G6" s="178" t="s">
        <v>14</v>
      </c>
      <c r="H6" s="178">
        <v>1</v>
      </c>
      <c r="I6" s="34" t="s">
        <v>679</v>
      </c>
      <c r="J6" s="34"/>
      <c r="K6" s="34" t="s">
        <v>530</v>
      </c>
      <c r="L6" s="34"/>
    </row>
    <row r="7" spans="1:12" ht="41.4">
      <c r="A7" s="24">
        <v>5</v>
      </c>
      <c r="B7" s="176" t="s">
        <v>657</v>
      </c>
      <c r="C7" s="175" t="s">
        <v>658</v>
      </c>
      <c r="D7" s="176" t="s">
        <v>659</v>
      </c>
      <c r="E7" s="175" t="s">
        <v>7</v>
      </c>
      <c r="F7" s="177"/>
      <c r="G7" s="178" t="s">
        <v>14</v>
      </c>
      <c r="H7" s="178">
        <v>1</v>
      </c>
      <c r="I7" s="57" t="s">
        <v>680</v>
      </c>
      <c r="J7" s="34"/>
      <c r="K7" s="34" t="s">
        <v>683</v>
      </c>
      <c r="L7" s="34"/>
    </row>
    <row r="8" spans="1:12" ht="358.8">
      <c r="A8" s="175">
        <v>6</v>
      </c>
      <c r="B8" s="20" t="s">
        <v>69</v>
      </c>
      <c r="C8" s="24" t="s">
        <v>70</v>
      </c>
      <c r="D8" s="20" t="s">
        <v>71</v>
      </c>
      <c r="E8" s="24" t="s">
        <v>7</v>
      </c>
      <c r="F8" s="128" t="s">
        <v>587</v>
      </c>
      <c r="G8" s="12" t="s">
        <v>681</v>
      </c>
      <c r="H8" s="67">
        <v>1</v>
      </c>
      <c r="I8" s="57" t="s">
        <v>552</v>
      </c>
      <c r="J8" s="57" t="s">
        <v>551</v>
      </c>
      <c r="K8" s="34" t="s">
        <v>684</v>
      </c>
      <c r="L8" s="34"/>
    </row>
    <row r="9" spans="1:12" ht="41.4">
      <c r="A9" s="175">
        <v>7</v>
      </c>
      <c r="B9" s="176" t="s">
        <v>660</v>
      </c>
      <c r="C9" s="175" t="s">
        <v>661</v>
      </c>
      <c r="D9" s="176" t="s">
        <v>662</v>
      </c>
      <c r="E9" s="179" t="s">
        <v>7</v>
      </c>
      <c r="F9" s="177"/>
      <c r="G9" s="178" t="s">
        <v>14</v>
      </c>
      <c r="H9" s="178">
        <v>1</v>
      </c>
      <c r="I9" s="57"/>
      <c r="J9" s="34"/>
      <c r="K9" s="34" t="s">
        <v>685</v>
      </c>
      <c r="L9" s="34"/>
    </row>
    <row r="10" spans="1:12" ht="55.2">
      <c r="A10" s="175">
        <v>8</v>
      </c>
      <c r="B10" s="176" t="s">
        <v>663</v>
      </c>
      <c r="C10" s="175" t="s">
        <v>665</v>
      </c>
      <c r="D10" s="176" t="s">
        <v>664</v>
      </c>
      <c r="E10" s="179" t="s">
        <v>7</v>
      </c>
      <c r="F10" s="177"/>
      <c r="G10" s="178" t="s">
        <v>14</v>
      </c>
      <c r="H10" s="178">
        <v>1</v>
      </c>
      <c r="I10" s="57"/>
      <c r="J10" s="34"/>
      <c r="K10" s="34" t="s">
        <v>686</v>
      </c>
      <c r="L10" s="34"/>
    </row>
    <row r="11" spans="1:12" ht="69">
      <c r="A11" s="175">
        <v>9</v>
      </c>
      <c r="B11" s="176" t="s">
        <v>664</v>
      </c>
      <c r="C11" s="175" t="s">
        <v>666</v>
      </c>
      <c r="D11" s="176" t="s">
        <v>667</v>
      </c>
      <c r="E11" s="179" t="s">
        <v>7</v>
      </c>
      <c r="F11" s="177"/>
      <c r="G11" s="178" t="s">
        <v>14</v>
      </c>
      <c r="H11" s="178">
        <v>1</v>
      </c>
      <c r="I11" s="57"/>
      <c r="J11" s="34"/>
      <c r="K11" s="34" t="s">
        <v>687</v>
      </c>
      <c r="L11" s="34"/>
    </row>
    <row r="12" spans="1:12" ht="41.4">
      <c r="A12" s="175">
        <v>10</v>
      </c>
      <c r="B12" s="176" t="s">
        <v>668</v>
      </c>
      <c r="C12" s="180" t="s">
        <v>669</v>
      </c>
      <c r="D12" s="176" t="s">
        <v>670</v>
      </c>
      <c r="E12" s="179" t="s">
        <v>7</v>
      </c>
      <c r="F12" s="177"/>
      <c r="G12" s="178" t="s">
        <v>14</v>
      </c>
      <c r="H12" s="178">
        <v>1</v>
      </c>
      <c r="I12" s="57"/>
      <c r="J12" s="34"/>
      <c r="K12" s="34" t="s">
        <v>636</v>
      </c>
      <c r="L12" s="34"/>
    </row>
    <row r="13" spans="1:12" ht="27.6">
      <c r="A13" s="175">
        <v>11</v>
      </c>
      <c r="B13" s="176" t="s">
        <v>671</v>
      </c>
      <c r="C13" s="180" t="s">
        <v>672</v>
      </c>
      <c r="D13" s="176" t="s">
        <v>673</v>
      </c>
      <c r="E13" s="179" t="s">
        <v>7</v>
      </c>
      <c r="F13" s="177"/>
      <c r="G13" s="178" t="s">
        <v>681</v>
      </c>
      <c r="H13" s="178">
        <v>1</v>
      </c>
      <c r="I13" s="57"/>
      <c r="J13" s="34"/>
      <c r="K13" s="34" t="s">
        <v>687</v>
      </c>
      <c r="L13" s="34"/>
    </row>
    <row r="14" spans="1:12" ht="41.4">
      <c r="A14" s="175">
        <v>12</v>
      </c>
      <c r="B14" s="176" t="s">
        <v>674</v>
      </c>
      <c r="C14" s="180" t="s">
        <v>675</v>
      </c>
      <c r="D14" s="176" t="s">
        <v>676</v>
      </c>
      <c r="E14" s="179" t="s">
        <v>7</v>
      </c>
      <c r="F14" s="177"/>
      <c r="G14" s="178" t="s">
        <v>681</v>
      </c>
      <c r="H14" s="178">
        <v>1</v>
      </c>
      <c r="I14" s="57"/>
      <c r="J14" s="34"/>
      <c r="K14" s="34" t="s">
        <v>684</v>
      </c>
      <c r="L14" s="34"/>
    </row>
    <row r="15" spans="1:12" ht="69">
      <c r="A15" s="175">
        <v>13</v>
      </c>
      <c r="B15" s="20" t="s">
        <v>72</v>
      </c>
      <c r="C15" s="24" t="s">
        <v>73</v>
      </c>
      <c r="D15" s="16" t="s">
        <v>74</v>
      </c>
      <c r="E15" s="27" t="s">
        <v>7</v>
      </c>
      <c r="F15" s="26" t="s">
        <v>588</v>
      </c>
      <c r="G15" s="12" t="s">
        <v>14</v>
      </c>
      <c r="H15" s="67">
        <v>1</v>
      </c>
      <c r="I15" s="57"/>
      <c r="J15" s="34"/>
      <c r="K15" s="34" t="s">
        <v>553</v>
      </c>
      <c r="L15" s="34"/>
    </row>
    <row r="16" spans="1:12" ht="13.8">
      <c r="A16" s="175">
        <v>14</v>
      </c>
      <c r="B16" s="20" t="s">
        <v>58</v>
      </c>
      <c r="C16" s="24" t="s">
        <v>75</v>
      </c>
      <c r="D16" s="16" t="s">
        <v>58</v>
      </c>
      <c r="E16" s="24" t="s">
        <v>10</v>
      </c>
      <c r="F16" s="183"/>
      <c r="G16" s="161" t="s">
        <v>14</v>
      </c>
      <c r="H16" s="159">
        <v>1</v>
      </c>
      <c r="I16" s="160" t="s">
        <v>613</v>
      </c>
      <c r="J16" s="34"/>
      <c r="K16" s="34" t="s">
        <v>553</v>
      </c>
      <c r="L16" s="34"/>
    </row>
    <row r="17" spans="1:12" ht="55.2">
      <c r="A17" s="175">
        <v>15</v>
      </c>
      <c r="B17" s="20" t="s">
        <v>76</v>
      </c>
      <c r="C17" s="24" t="s">
        <v>77</v>
      </c>
      <c r="D17" s="59" t="s">
        <v>78</v>
      </c>
      <c r="E17" s="36" t="s">
        <v>7</v>
      </c>
      <c r="F17" s="60" t="s">
        <v>608</v>
      </c>
      <c r="G17" s="38" t="s">
        <v>79</v>
      </c>
      <c r="H17" s="65">
        <v>0.5</v>
      </c>
      <c r="I17" s="66" t="s">
        <v>614</v>
      </c>
      <c r="J17" s="127" t="s">
        <v>648</v>
      </c>
      <c r="K17" s="34" t="s">
        <v>554</v>
      </c>
      <c r="L17" s="189">
        <v>46227</v>
      </c>
    </row>
    <row r="18" spans="1:12" ht="69">
      <c r="A18" s="175">
        <v>16</v>
      </c>
      <c r="B18" s="20" t="s">
        <v>8</v>
      </c>
      <c r="C18" s="24" t="s">
        <v>80</v>
      </c>
      <c r="D18" s="37" t="s">
        <v>81</v>
      </c>
      <c r="E18" s="61" t="s">
        <v>7</v>
      </c>
      <c r="F18" s="184" t="s">
        <v>598</v>
      </c>
      <c r="G18" s="12" t="s">
        <v>14</v>
      </c>
      <c r="H18" s="65">
        <v>1</v>
      </c>
      <c r="I18" s="34"/>
      <c r="J18" s="34"/>
      <c r="K18" s="34" t="s">
        <v>530</v>
      </c>
      <c r="L18" s="34"/>
    </row>
    <row r="19" spans="1:12" ht="55.2">
      <c r="A19" s="175">
        <v>17</v>
      </c>
      <c r="B19" s="20" t="s">
        <v>82</v>
      </c>
      <c r="C19" s="24" t="s">
        <v>80</v>
      </c>
      <c r="D19" s="62" t="s">
        <v>83</v>
      </c>
      <c r="E19" s="36" t="s">
        <v>7</v>
      </c>
      <c r="F19" s="60" t="s">
        <v>599</v>
      </c>
      <c r="G19" s="129" t="s">
        <v>79</v>
      </c>
      <c r="H19" s="65">
        <v>0.5</v>
      </c>
      <c r="I19" s="57" t="s">
        <v>589</v>
      </c>
      <c r="J19" s="57" t="s">
        <v>615</v>
      </c>
      <c r="K19" s="34" t="s">
        <v>554</v>
      </c>
      <c r="L19" s="189">
        <v>46227</v>
      </c>
    </row>
    <row r="20" spans="1:12" ht="13.8">
      <c r="A20" s="175">
        <v>18</v>
      </c>
      <c r="B20" s="20" t="s">
        <v>9</v>
      </c>
      <c r="C20" s="24" t="s">
        <v>84</v>
      </c>
      <c r="D20" s="37" t="s">
        <v>85</v>
      </c>
      <c r="E20" s="64" t="s">
        <v>10</v>
      </c>
      <c r="F20" s="185"/>
      <c r="G20" s="58" t="s">
        <v>529</v>
      </c>
      <c r="H20" s="68">
        <v>0</v>
      </c>
      <c r="I20" s="34"/>
      <c r="J20" s="34"/>
      <c r="K20" s="34"/>
      <c r="L20" s="34"/>
    </row>
    <row r="21" spans="1:12" ht="55.2">
      <c r="A21" s="175">
        <v>19</v>
      </c>
      <c r="B21" s="20" t="s">
        <v>86</v>
      </c>
      <c r="C21" s="24" t="s">
        <v>87</v>
      </c>
      <c r="D21" s="59" t="s">
        <v>88</v>
      </c>
      <c r="E21" s="36" t="s">
        <v>7</v>
      </c>
      <c r="F21" s="60" t="s">
        <v>600</v>
      </c>
      <c r="G21" s="12" t="s">
        <v>681</v>
      </c>
      <c r="H21" s="65">
        <v>1</v>
      </c>
      <c r="I21" s="66" t="s">
        <v>565</v>
      </c>
      <c r="J21" s="127" t="s">
        <v>555</v>
      </c>
      <c r="K21" s="34" t="s">
        <v>556</v>
      </c>
      <c r="L21" s="34"/>
    </row>
    <row r="22" spans="1:12" ht="41.4">
      <c r="A22" s="175">
        <v>20</v>
      </c>
      <c r="B22" s="21" t="s">
        <v>89</v>
      </c>
      <c r="C22" s="24" t="s">
        <v>90</v>
      </c>
      <c r="D22" s="37" t="s">
        <v>91</v>
      </c>
      <c r="E22" s="36" t="s">
        <v>7</v>
      </c>
      <c r="F22" s="35"/>
      <c r="G22" s="58" t="s">
        <v>681</v>
      </c>
      <c r="H22" s="65">
        <v>0.5</v>
      </c>
      <c r="I22" s="57" t="s">
        <v>649</v>
      </c>
      <c r="J22" s="57"/>
      <c r="K22" s="34" t="s">
        <v>531</v>
      </c>
      <c r="L22" s="34"/>
    </row>
    <row r="23" spans="1:12" ht="69">
      <c r="A23" s="175">
        <v>21</v>
      </c>
      <c r="B23" s="20" t="s">
        <v>74</v>
      </c>
      <c r="C23" s="24" t="s">
        <v>92</v>
      </c>
      <c r="D23" s="37" t="s">
        <v>650</v>
      </c>
      <c r="E23" s="36" t="s">
        <v>7</v>
      </c>
      <c r="F23" s="60" t="s">
        <v>601</v>
      </c>
      <c r="G23" s="38" t="s">
        <v>681</v>
      </c>
      <c r="H23" s="65">
        <v>1</v>
      </c>
      <c r="I23" s="57" t="s">
        <v>616</v>
      </c>
      <c r="J23" s="57" t="s">
        <v>558</v>
      </c>
      <c r="K23" s="34" t="s">
        <v>530</v>
      </c>
      <c r="L23" s="34"/>
    </row>
    <row r="24" spans="1:12" ht="13.8">
      <c r="A24" s="175">
        <v>22</v>
      </c>
      <c r="B24" s="20" t="s">
        <v>93</v>
      </c>
      <c r="C24" s="24" t="s">
        <v>94</v>
      </c>
      <c r="D24" s="59" t="s">
        <v>95</v>
      </c>
      <c r="E24" s="36" t="s">
        <v>10</v>
      </c>
      <c r="F24" s="186"/>
      <c r="G24" s="38" t="s">
        <v>529</v>
      </c>
      <c r="H24" s="65"/>
      <c r="I24" s="34"/>
      <c r="J24" s="34"/>
      <c r="K24" s="34"/>
      <c r="L24" s="34"/>
    </row>
    <row r="25" spans="1:12" ht="13.8">
      <c r="A25" s="175">
        <v>23</v>
      </c>
      <c r="B25" s="20" t="s">
        <v>96</v>
      </c>
      <c r="C25" s="24" t="s">
        <v>97</v>
      </c>
      <c r="D25" s="37" t="s">
        <v>98</v>
      </c>
      <c r="E25" s="36" t="s">
        <v>10</v>
      </c>
      <c r="F25" s="60"/>
      <c r="G25" s="38" t="s">
        <v>529</v>
      </c>
      <c r="H25" s="65"/>
      <c r="I25" s="57"/>
      <c r="J25" s="57"/>
      <c r="K25" s="34"/>
      <c r="L25" s="34"/>
    </row>
    <row r="26" spans="1:12" ht="55.2">
      <c r="A26" s="175">
        <v>24</v>
      </c>
      <c r="B26" s="20" t="s">
        <v>99</v>
      </c>
      <c r="C26" s="24" t="s">
        <v>100</v>
      </c>
      <c r="D26" s="37" t="s">
        <v>101</v>
      </c>
      <c r="E26" s="36" t="s">
        <v>10</v>
      </c>
      <c r="F26" s="60" t="s">
        <v>602</v>
      </c>
      <c r="G26" s="38" t="s">
        <v>681</v>
      </c>
      <c r="H26" s="65">
        <v>1</v>
      </c>
      <c r="I26" s="13" t="s">
        <v>559</v>
      </c>
      <c r="J26" s="130" t="s">
        <v>561</v>
      </c>
      <c r="K26" s="34" t="s">
        <v>560</v>
      </c>
      <c r="L26" s="34"/>
    </row>
    <row r="27" spans="1:12" ht="55.2">
      <c r="A27" s="175">
        <v>25</v>
      </c>
      <c r="B27" s="20" t="s">
        <v>12</v>
      </c>
      <c r="C27" s="24" t="s">
        <v>102</v>
      </c>
      <c r="D27" s="59" t="s">
        <v>12</v>
      </c>
      <c r="E27" s="36" t="s">
        <v>10</v>
      </c>
      <c r="F27" s="60" t="s">
        <v>602</v>
      </c>
      <c r="G27" s="38" t="s">
        <v>681</v>
      </c>
      <c r="H27" s="65">
        <v>1</v>
      </c>
      <c r="I27" s="13" t="s">
        <v>559</v>
      </c>
      <c r="J27" s="130" t="s">
        <v>561</v>
      </c>
      <c r="K27" s="34" t="s">
        <v>560</v>
      </c>
      <c r="L27" s="34"/>
    </row>
    <row r="28" spans="1:12" ht="55.2">
      <c r="A28" s="175">
        <v>26</v>
      </c>
      <c r="B28" s="20" t="s">
        <v>103</v>
      </c>
      <c r="C28" s="24" t="s">
        <v>104</v>
      </c>
      <c r="D28" s="37" t="s">
        <v>526</v>
      </c>
      <c r="E28" s="36" t="s">
        <v>10</v>
      </c>
      <c r="F28" s="60" t="s">
        <v>602</v>
      </c>
      <c r="G28" s="38" t="s">
        <v>681</v>
      </c>
      <c r="H28" s="65">
        <v>1</v>
      </c>
      <c r="I28" s="13" t="s">
        <v>559</v>
      </c>
      <c r="J28" s="130" t="s">
        <v>561</v>
      </c>
      <c r="K28" s="34" t="s">
        <v>560</v>
      </c>
      <c r="L28" s="34"/>
    </row>
    <row r="29" spans="1:12" ht="55.2">
      <c r="A29" s="175">
        <v>27</v>
      </c>
      <c r="B29" s="20" t="s">
        <v>13</v>
      </c>
      <c r="C29" s="24" t="s">
        <v>105</v>
      </c>
      <c r="D29" s="37" t="s">
        <v>106</v>
      </c>
      <c r="E29" s="36" t="s">
        <v>10</v>
      </c>
      <c r="F29" s="60" t="s">
        <v>602</v>
      </c>
      <c r="G29" s="38" t="s">
        <v>681</v>
      </c>
      <c r="H29" s="65">
        <v>1</v>
      </c>
      <c r="I29" s="13" t="s">
        <v>559</v>
      </c>
      <c r="J29" s="130" t="s">
        <v>561</v>
      </c>
      <c r="K29" s="34" t="s">
        <v>560</v>
      </c>
      <c r="L29" s="34"/>
    </row>
    <row r="30" spans="1:12" ht="69">
      <c r="A30" s="175">
        <v>28</v>
      </c>
      <c r="B30" s="20" t="s">
        <v>107</v>
      </c>
      <c r="C30" s="24" t="s">
        <v>108</v>
      </c>
      <c r="D30" s="37" t="s">
        <v>109</v>
      </c>
      <c r="E30" s="36" t="s">
        <v>10</v>
      </c>
      <c r="F30" s="60" t="s">
        <v>607</v>
      </c>
      <c r="G30" s="38" t="s">
        <v>681</v>
      </c>
      <c r="H30" s="65">
        <v>1</v>
      </c>
      <c r="I30" s="57" t="s">
        <v>562</v>
      </c>
      <c r="J30" s="57"/>
      <c r="K30" s="34" t="s">
        <v>564</v>
      </c>
      <c r="L30" s="34"/>
    </row>
    <row r="31" spans="1:12" ht="69">
      <c r="A31" s="175">
        <v>29</v>
      </c>
      <c r="B31" s="20" t="s">
        <v>110</v>
      </c>
      <c r="C31" s="24" t="s">
        <v>111</v>
      </c>
      <c r="D31" s="37" t="s">
        <v>112</v>
      </c>
      <c r="E31" s="36" t="s">
        <v>10</v>
      </c>
      <c r="F31" s="60" t="s">
        <v>603</v>
      </c>
      <c r="G31" s="38" t="s">
        <v>79</v>
      </c>
      <c r="H31" s="65">
        <v>0.5</v>
      </c>
      <c r="I31" s="57" t="s">
        <v>563</v>
      </c>
      <c r="J31" s="57" t="s">
        <v>568</v>
      </c>
      <c r="K31" s="34" t="s">
        <v>553</v>
      </c>
      <c r="L31" s="34"/>
    </row>
    <row r="32" spans="1:12" ht="41.4">
      <c r="A32" s="175">
        <v>30</v>
      </c>
      <c r="B32" s="20" t="s">
        <v>113</v>
      </c>
      <c r="C32" s="24" t="s">
        <v>114</v>
      </c>
      <c r="D32" s="16" t="s">
        <v>115</v>
      </c>
      <c r="E32" s="24" t="s">
        <v>10</v>
      </c>
      <c r="F32" s="187"/>
      <c r="G32" s="12" t="s">
        <v>529</v>
      </c>
      <c r="H32" s="67"/>
      <c r="I32" s="34"/>
      <c r="J32" s="34"/>
      <c r="K32" s="34"/>
      <c r="L32" s="34"/>
    </row>
    <row r="33" spans="1:12" ht="13.8">
      <c r="A33" s="175">
        <v>31</v>
      </c>
      <c r="B33" s="20" t="s">
        <v>116</v>
      </c>
      <c r="C33" s="24" t="s">
        <v>117</v>
      </c>
      <c r="D33" s="16" t="s">
        <v>118</v>
      </c>
      <c r="E33" s="24" t="s">
        <v>10</v>
      </c>
      <c r="F33" s="187"/>
      <c r="G33" s="12" t="s">
        <v>529</v>
      </c>
      <c r="H33" s="67"/>
      <c r="I33" s="34"/>
      <c r="J33" s="34"/>
      <c r="K33" s="34"/>
      <c r="L33" s="34"/>
    </row>
    <row r="34" spans="1:12" ht="27.6">
      <c r="A34" s="175">
        <v>32</v>
      </c>
      <c r="B34" s="20" t="s">
        <v>119</v>
      </c>
      <c r="C34" s="24" t="s">
        <v>117</v>
      </c>
      <c r="D34" s="20" t="s">
        <v>120</v>
      </c>
      <c r="E34" s="24" t="s">
        <v>10</v>
      </c>
      <c r="F34" s="187"/>
      <c r="G34" s="12" t="s">
        <v>529</v>
      </c>
      <c r="H34" s="67"/>
      <c r="I34" s="34"/>
      <c r="J34" s="34"/>
      <c r="K34" s="34"/>
      <c r="L34" s="34"/>
    </row>
    <row r="35" spans="1:12" ht="27.6">
      <c r="A35" s="175">
        <v>33</v>
      </c>
      <c r="B35" s="20" t="s">
        <v>121</v>
      </c>
      <c r="C35" s="24" t="s">
        <v>122</v>
      </c>
      <c r="D35" s="20" t="s">
        <v>123</v>
      </c>
      <c r="E35" s="24" t="s">
        <v>10</v>
      </c>
      <c r="F35" s="187"/>
      <c r="G35" s="12" t="s">
        <v>529</v>
      </c>
      <c r="H35" s="67"/>
      <c r="I35" s="34"/>
      <c r="J35" s="34"/>
      <c r="K35" s="34"/>
      <c r="L35" s="34"/>
    </row>
    <row r="36" spans="1:12" ht="69">
      <c r="A36" s="175">
        <v>34</v>
      </c>
      <c r="B36" s="20" t="s">
        <v>124</v>
      </c>
      <c r="C36" s="24" t="s">
        <v>125</v>
      </c>
      <c r="D36" s="20" t="s">
        <v>126</v>
      </c>
      <c r="E36" s="24" t="s">
        <v>10</v>
      </c>
      <c r="F36" s="26" t="s">
        <v>606</v>
      </c>
      <c r="G36" s="38" t="s">
        <v>681</v>
      </c>
      <c r="H36" s="67">
        <v>1</v>
      </c>
      <c r="I36" s="57" t="s">
        <v>566</v>
      </c>
      <c r="J36" s="57" t="s">
        <v>567</v>
      </c>
      <c r="K36" s="34" t="s">
        <v>688</v>
      </c>
      <c r="L36" s="34"/>
    </row>
    <row r="37" spans="1:12" ht="55.2">
      <c r="A37" s="175">
        <v>35</v>
      </c>
      <c r="B37" s="20" t="s">
        <v>127</v>
      </c>
      <c r="C37" s="24" t="s">
        <v>128</v>
      </c>
      <c r="D37" s="20" t="s">
        <v>129</v>
      </c>
      <c r="E37" s="24" t="s">
        <v>7</v>
      </c>
      <c r="F37" s="128" t="s">
        <v>605</v>
      </c>
      <c r="G37" s="38" t="s">
        <v>681</v>
      </c>
      <c r="H37" s="67">
        <v>1</v>
      </c>
      <c r="I37" s="34"/>
      <c r="J37" s="34"/>
      <c r="K37" s="34" t="s">
        <v>530</v>
      </c>
      <c r="L37" s="34"/>
    </row>
    <row r="38" spans="1:12" ht="27.6">
      <c r="A38" s="175">
        <v>36</v>
      </c>
      <c r="B38" s="20" t="s">
        <v>130</v>
      </c>
      <c r="C38" s="24" t="s">
        <v>131</v>
      </c>
      <c r="D38" s="20" t="s">
        <v>651</v>
      </c>
      <c r="E38" s="24" t="s">
        <v>7</v>
      </c>
      <c r="F38" s="187"/>
      <c r="G38" s="38" t="s">
        <v>681</v>
      </c>
      <c r="H38" s="65">
        <v>1</v>
      </c>
      <c r="I38" s="57" t="s">
        <v>557</v>
      </c>
      <c r="J38" s="57" t="s">
        <v>558</v>
      </c>
      <c r="K38" s="34" t="s">
        <v>530</v>
      </c>
      <c r="L38" s="34"/>
    </row>
    <row r="39" spans="1:12" ht="41.4">
      <c r="A39" s="175">
        <v>37</v>
      </c>
      <c r="B39" s="20" t="s">
        <v>132</v>
      </c>
      <c r="C39" s="24" t="s">
        <v>133</v>
      </c>
      <c r="D39" s="16" t="s">
        <v>134</v>
      </c>
      <c r="E39" s="24" t="s">
        <v>10</v>
      </c>
      <c r="F39" s="187"/>
      <c r="G39" s="12" t="s">
        <v>529</v>
      </c>
      <c r="H39" s="67"/>
      <c r="I39" s="34"/>
      <c r="J39" s="34"/>
      <c r="K39" s="34"/>
      <c r="L39" s="34"/>
    </row>
    <row r="40" spans="1:12" ht="55.2">
      <c r="A40" s="175">
        <v>38</v>
      </c>
      <c r="B40" s="20" t="s">
        <v>15</v>
      </c>
      <c r="C40" s="24" t="s">
        <v>135</v>
      </c>
      <c r="D40" s="16" t="s">
        <v>136</v>
      </c>
      <c r="E40" s="24" t="s">
        <v>7</v>
      </c>
      <c r="F40" s="26" t="s">
        <v>604</v>
      </c>
      <c r="G40" s="38" t="s">
        <v>681</v>
      </c>
      <c r="H40" s="67">
        <v>1</v>
      </c>
      <c r="I40" s="34"/>
      <c r="J40" s="34"/>
      <c r="K40" s="34" t="s">
        <v>554</v>
      </c>
      <c r="L40" s="34"/>
    </row>
    <row r="41" spans="1:12" ht="13.8">
      <c r="A41" s="175">
        <v>39</v>
      </c>
      <c r="B41" s="20" t="s">
        <v>16</v>
      </c>
      <c r="C41" s="24" t="s">
        <v>137</v>
      </c>
      <c r="D41" s="17" t="s">
        <v>17</v>
      </c>
      <c r="E41" s="24" t="s">
        <v>10</v>
      </c>
      <c r="F41" s="187"/>
      <c r="G41" s="12" t="s">
        <v>529</v>
      </c>
      <c r="H41" s="67"/>
      <c r="I41" s="34"/>
      <c r="J41" s="34"/>
      <c r="K41" s="34"/>
      <c r="L41" s="34"/>
    </row>
    <row r="42" spans="1:12" ht="27.6">
      <c r="A42" s="175">
        <v>40</v>
      </c>
      <c r="B42" s="20" t="s">
        <v>18</v>
      </c>
      <c r="C42" s="24" t="s">
        <v>138</v>
      </c>
      <c r="D42" s="20" t="s">
        <v>139</v>
      </c>
      <c r="E42" s="24" t="s">
        <v>10</v>
      </c>
      <c r="F42" s="26"/>
      <c r="G42" s="12" t="s">
        <v>529</v>
      </c>
      <c r="H42" s="67"/>
      <c r="I42" s="34"/>
      <c r="J42" s="34"/>
      <c r="K42" s="34"/>
      <c r="L42" s="34"/>
    </row>
    <row r="43" spans="1:12" ht="41.4">
      <c r="A43" s="175">
        <v>41</v>
      </c>
      <c r="B43" s="20" t="s">
        <v>140</v>
      </c>
      <c r="C43" s="24" t="s">
        <v>141</v>
      </c>
      <c r="D43" s="16" t="s">
        <v>142</v>
      </c>
      <c r="E43" s="24" t="s">
        <v>10</v>
      </c>
      <c r="F43" s="187"/>
      <c r="G43" s="12" t="s">
        <v>529</v>
      </c>
      <c r="H43" s="67"/>
      <c r="I43" s="34"/>
      <c r="J43" s="34"/>
      <c r="K43" s="34"/>
      <c r="L43" s="34"/>
    </row>
    <row r="44" spans="1:12" ht="13.8">
      <c r="A44" s="175">
        <v>42</v>
      </c>
      <c r="B44" s="20" t="s">
        <v>143</v>
      </c>
      <c r="C44" s="24" t="s">
        <v>144</v>
      </c>
      <c r="D44" s="16" t="s">
        <v>145</v>
      </c>
      <c r="E44" s="24" t="s">
        <v>10</v>
      </c>
      <c r="F44" s="187"/>
      <c r="G44" s="12" t="s">
        <v>529</v>
      </c>
      <c r="H44" s="67"/>
      <c r="I44" s="34"/>
      <c r="J44" s="34"/>
      <c r="K44" s="34"/>
      <c r="L44" s="34"/>
    </row>
    <row r="45" spans="1:12" ht="27.6">
      <c r="A45" s="175">
        <v>43</v>
      </c>
      <c r="B45" s="20" t="s">
        <v>146</v>
      </c>
      <c r="C45" s="24" t="s">
        <v>147</v>
      </c>
      <c r="D45" s="16" t="s">
        <v>148</v>
      </c>
      <c r="E45" s="24" t="s">
        <v>10</v>
      </c>
      <c r="F45" s="187"/>
      <c r="G45" s="12" t="s">
        <v>529</v>
      </c>
      <c r="H45" s="67"/>
      <c r="I45" s="34"/>
      <c r="J45" s="34"/>
      <c r="K45" s="34"/>
      <c r="L45" s="34"/>
    </row>
    <row r="46" spans="1:12" ht="13.8">
      <c r="A46" s="175">
        <v>44</v>
      </c>
      <c r="B46" s="20" t="s">
        <v>149</v>
      </c>
      <c r="C46" s="24" t="s">
        <v>150</v>
      </c>
      <c r="D46" s="17" t="s">
        <v>151</v>
      </c>
      <c r="E46" s="24" t="s">
        <v>10</v>
      </c>
      <c r="F46" s="187"/>
      <c r="G46" s="12" t="s">
        <v>529</v>
      </c>
      <c r="H46" s="67"/>
      <c r="I46" s="34"/>
      <c r="J46" s="34"/>
      <c r="K46" s="34"/>
      <c r="L46" s="34"/>
    </row>
    <row r="47" spans="1:12" ht="27.6">
      <c r="A47" s="175">
        <v>45</v>
      </c>
      <c r="B47" s="20" t="s">
        <v>152</v>
      </c>
      <c r="C47" s="24" t="s">
        <v>153</v>
      </c>
      <c r="D47" s="17" t="s">
        <v>154</v>
      </c>
      <c r="E47" s="24" t="s">
        <v>10</v>
      </c>
      <c r="F47" s="187"/>
      <c r="G47" s="12" t="s">
        <v>529</v>
      </c>
      <c r="H47" s="67"/>
      <c r="I47" s="34"/>
      <c r="J47" s="34"/>
      <c r="K47" s="34"/>
      <c r="L47" s="34"/>
    </row>
    <row r="48" spans="1:12" ht="41.4">
      <c r="A48" s="175">
        <v>46</v>
      </c>
      <c r="B48" s="20" t="s">
        <v>19</v>
      </c>
      <c r="C48" s="24" t="s">
        <v>155</v>
      </c>
      <c r="D48" s="22" t="s">
        <v>156</v>
      </c>
      <c r="E48" s="24" t="s">
        <v>10</v>
      </c>
      <c r="F48" s="187"/>
      <c r="G48" s="12" t="s">
        <v>529</v>
      </c>
      <c r="H48" s="67"/>
      <c r="I48" s="34"/>
      <c r="J48" s="34"/>
      <c r="K48" s="34"/>
      <c r="L48" s="34"/>
    </row>
    <row r="49" spans="1:8" ht="14.25" customHeight="1">
      <c r="A49" s="3" t="s">
        <v>62</v>
      </c>
      <c r="B49" s="19"/>
      <c r="C49" s="4"/>
      <c r="D49" s="2"/>
    </row>
    <row r="50" spans="1:8" ht="14.25" customHeight="1">
      <c r="A50" s="1"/>
      <c r="B50" s="19"/>
      <c r="C50" s="4"/>
      <c r="D50" s="2"/>
      <c r="E50" s="28" t="s">
        <v>7</v>
      </c>
      <c r="F50" s="188">
        <f>COUNTIF($E$3:$E$48,E50)</f>
        <v>22</v>
      </c>
      <c r="G50" s="73" t="s">
        <v>14</v>
      </c>
      <c r="H50" s="71">
        <f>COUNTIF($G$3:$G$48,G50)</f>
        <v>12</v>
      </c>
    </row>
    <row r="51" spans="1:8" ht="14.25" customHeight="1">
      <c r="A51" s="1"/>
      <c r="B51" s="19"/>
      <c r="C51" s="4"/>
      <c r="D51" s="2"/>
      <c r="E51" s="28" t="s">
        <v>10</v>
      </c>
      <c r="F51" s="188">
        <f>COUNTIF($E$3:$E$48,E51)</f>
        <v>24</v>
      </c>
      <c r="G51" s="73" t="s">
        <v>79</v>
      </c>
      <c r="H51" s="71">
        <f>COUNTIF($G$3:$G$48,G51)</f>
        <v>3</v>
      </c>
    </row>
    <row r="52" spans="1:8" ht="14.25" customHeight="1">
      <c r="A52" s="1"/>
      <c r="B52" s="19"/>
      <c r="C52" s="4"/>
      <c r="D52" s="2"/>
      <c r="E52" s="28"/>
      <c r="G52" s="73" t="s">
        <v>11</v>
      </c>
      <c r="H52" s="71">
        <f>COUNTIF($G$3:$G$48,G52)</f>
        <v>0</v>
      </c>
    </row>
    <row r="53" spans="1:8" ht="14.25" customHeight="1">
      <c r="A53" s="1"/>
      <c r="B53" s="19"/>
      <c r="C53" s="4"/>
      <c r="D53" s="2"/>
      <c r="E53" s="4"/>
      <c r="G53" s="73" t="s">
        <v>529</v>
      </c>
      <c r="H53" s="72">
        <f>COUNTIF($G$3:$G$48,G53)</f>
        <v>16</v>
      </c>
    </row>
    <row r="54" spans="1:8" ht="14.25" customHeight="1">
      <c r="A54" s="1"/>
      <c r="B54" s="19"/>
      <c r="C54" s="4"/>
      <c r="D54" s="2"/>
      <c r="E54" s="4"/>
      <c r="G54" s="69" t="s">
        <v>527</v>
      </c>
      <c r="H54" s="70">
        <f>AVERAGE(H3:H48)</f>
        <v>0.90322580645161288</v>
      </c>
    </row>
    <row r="55" spans="1:8" ht="14.25" customHeight="1">
      <c r="A55" s="1"/>
      <c r="B55" s="19"/>
      <c r="C55" s="4"/>
      <c r="D55" s="2"/>
      <c r="E55" s="4"/>
    </row>
    <row r="56" spans="1:8" ht="14.25" customHeight="1">
      <c r="A56" s="1"/>
      <c r="B56" s="19"/>
      <c r="C56" s="4"/>
      <c r="D56" s="2"/>
      <c r="E56" s="4"/>
    </row>
    <row r="57" spans="1:8" ht="14.25" customHeight="1">
      <c r="A57" s="1"/>
      <c r="B57" s="19"/>
      <c r="C57" s="4"/>
      <c r="D57" s="2"/>
      <c r="E57" s="4"/>
    </row>
    <row r="58" spans="1:8" ht="14.25" customHeight="1">
      <c r="A58" s="1"/>
      <c r="B58" s="19"/>
      <c r="C58" s="4"/>
      <c r="D58" s="2"/>
      <c r="E58" s="4"/>
    </row>
    <row r="59" spans="1:8" ht="14.25" customHeight="1">
      <c r="A59" s="1"/>
      <c r="B59" s="19"/>
      <c r="C59" s="4"/>
      <c r="D59" s="2"/>
      <c r="E59" s="4"/>
    </row>
    <row r="60" spans="1:8" ht="14.25" customHeight="1">
      <c r="A60" s="1"/>
      <c r="B60" s="19"/>
      <c r="C60" s="4"/>
      <c r="D60" s="2"/>
      <c r="E60" s="4"/>
    </row>
    <row r="61" spans="1:8" ht="14.25" customHeight="1">
      <c r="A61" s="1"/>
      <c r="B61" s="19"/>
      <c r="C61" s="4"/>
      <c r="D61" s="2"/>
      <c r="E61" s="4"/>
    </row>
    <row r="62" spans="1:8" ht="14.25" customHeight="1">
      <c r="A62" s="1"/>
      <c r="B62" s="19"/>
      <c r="C62" s="4"/>
      <c r="D62" s="2"/>
      <c r="E62" s="4"/>
    </row>
    <row r="63" spans="1:8" ht="14.25" customHeight="1">
      <c r="A63" s="1"/>
      <c r="B63" s="19"/>
      <c r="C63" s="4"/>
      <c r="D63" s="2"/>
      <c r="E63" s="4"/>
    </row>
    <row r="64" spans="1:8" ht="14.25" customHeight="1">
      <c r="A64" s="1"/>
      <c r="B64" s="19"/>
      <c r="C64" s="4"/>
      <c r="D64" s="2"/>
      <c r="E64" s="4"/>
    </row>
    <row r="65" spans="1:5" ht="14.25" customHeight="1">
      <c r="A65" s="1"/>
      <c r="B65" s="19"/>
      <c r="C65" s="4"/>
      <c r="D65" s="2"/>
      <c r="E65" s="4"/>
    </row>
    <row r="66" spans="1:5" ht="14.25" customHeight="1">
      <c r="A66" s="1"/>
      <c r="B66" s="19"/>
      <c r="C66" s="4"/>
      <c r="D66" s="2"/>
      <c r="E66" s="4"/>
    </row>
    <row r="67" spans="1:5" ht="14.25" customHeight="1">
      <c r="A67" s="1"/>
      <c r="B67" s="19"/>
      <c r="C67" s="4"/>
      <c r="D67" s="2"/>
      <c r="E67" s="4"/>
    </row>
    <row r="68" spans="1:5" ht="14.25" customHeight="1">
      <c r="A68" s="1"/>
      <c r="B68" s="19"/>
      <c r="C68" s="4"/>
      <c r="D68" s="2"/>
      <c r="E68" s="4"/>
    </row>
    <row r="69" spans="1:5" ht="14.25" customHeight="1">
      <c r="A69" s="1"/>
      <c r="B69" s="19"/>
      <c r="C69" s="4"/>
      <c r="D69" s="2"/>
      <c r="E69" s="4"/>
    </row>
    <row r="70" spans="1:5" ht="14.25" customHeight="1">
      <c r="A70" s="1"/>
      <c r="B70" s="19"/>
      <c r="C70" s="4"/>
      <c r="D70" s="2"/>
      <c r="E70" s="4"/>
    </row>
    <row r="71" spans="1:5" ht="14.25" customHeight="1">
      <c r="A71" s="1"/>
      <c r="B71" s="19"/>
      <c r="C71" s="4"/>
      <c r="D71" s="2"/>
      <c r="E71" s="4"/>
    </row>
    <row r="72" spans="1:5" ht="14.25" customHeight="1">
      <c r="A72" s="1"/>
      <c r="B72" s="19"/>
      <c r="C72" s="4"/>
      <c r="D72" s="2"/>
      <c r="E72" s="4"/>
    </row>
    <row r="73" spans="1:5" ht="14.25" customHeight="1">
      <c r="A73" s="1"/>
      <c r="B73" s="19"/>
      <c r="C73" s="4"/>
      <c r="D73" s="2"/>
      <c r="E73" s="4"/>
    </row>
    <row r="74" spans="1:5" ht="14.25" customHeight="1">
      <c r="A74" s="1"/>
      <c r="B74" s="19"/>
      <c r="C74" s="4"/>
      <c r="D74" s="2"/>
      <c r="E74" s="4"/>
    </row>
    <row r="75" spans="1:5" ht="14.25" customHeight="1">
      <c r="A75" s="1"/>
      <c r="B75" s="19"/>
      <c r="C75" s="4"/>
      <c r="D75" s="2"/>
      <c r="E75" s="4"/>
    </row>
    <row r="76" spans="1:5" ht="14.25" customHeight="1">
      <c r="A76" s="1"/>
      <c r="B76" s="19"/>
      <c r="C76" s="4"/>
      <c r="D76" s="2"/>
      <c r="E76" s="4"/>
    </row>
    <row r="77" spans="1:5" ht="14.25" customHeight="1">
      <c r="A77" s="1"/>
      <c r="B77" s="19"/>
      <c r="C77" s="4"/>
      <c r="D77" s="2"/>
      <c r="E77" s="4"/>
    </row>
    <row r="78" spans="1:5" ht="14.25" customHeight="1">
      <c r="A78" s="1"/>
      <c r="B78" s="19"/>
      <c r="C78" s="4"/>
      <c r="D78" s="2"/>
      <c r="E78" s="4"/>
    </row>
    <row r="79" spans="1:5" ht="14.25" customHeight="1">
      <c r="A79" s="1"/>
      <c r="B79" s="19"/>
      <c r="C79" s="4"/>
      <c r="D79" s="2"/>
      <c r="E79" s="4"/>
    </row>
    <row r="80" spans="1:5" ht="14.25" customHeight="1">
      <c r="A80" s="1"/>
      <c r="B80" s="19"/>
      <c r="C80" s="4"/>
      <c r="D80" s="2"/>
      <c r="E80" s="4"/>
    </row>
    <row r="81" spans="1:5" ht="14.25" customHeight="1">
      <c r="A81" s="1"/>
      <c r="B81" s="19"/>
      <c r="C81" s="4"/>
      <c r="D81" s="2"/>
      <c r="E81" s="4"/>
    </row>
    <row r="82" spans="1:5" ht="14.25" customHeight="1">
      <c r="A82" s="1"/>
      <c r="B82" s="19"/>
      <c r="C82" s="4"/>
      <c r="D82" s="2"/>
      <c r="E82" s="4"/>
    </row>
    <row r="83" spans="1:5" ht="14.25" customHeight="1">
      <c r="A83" s="1"/>
      <c r="B83" s="19"/>
      <c r="C83" s="4"/>
      <c r="D83" s="2"/>
      <c r="E83" s="4"/>
    </row>
    <row r="84" spans="1:5" ht="14.25" customHeight="1">
      <c r="A84" s="1"/>
      <c r="B84" s="19"/>
      <c r="C84" s="4"/>
      <c r="D84" s="2"/>
      <c r="E84" s="4"/>
    </row>
    <row r="85" spans="1:5" ht="14.25" customHeight="1">
      <c r="A85" s="1"/>
      <c r="B85" s="19"/>
      <c r="C85" s="4"/>
      <c r="D85" s="2"/>
      <c r="E85" s="4"/>
    </row>
    <row r="86" spans="1:5" ht="14.25" customHeight="1">
      <c r="A86" s="1"/>
      <c r="B86" s="19"/>
      <c r="C86" s="4"/>
      <c r="D86" s="2"/>
      <c r="E86" s="4"/>
    </row>
    <row r="87" spans="1:5" ht="14.25" customHeight="1">
      <c r="A87" s="1"/>
      <c r="B87" s="19"/>
      <c r="C87" s="4"/>
      <c r="D87" s="2"/>
      <c r="E87" s="4"/>
    </row>
    <row r="88" spans="1:5" ht="14.25" customHeight="1">
      <c r="A88" s="1"/>
      <c r="B88" s="19"/>
      <c r="C88" s="4"/>
      <c r="D88" s="2"/>
      <c r="E88" s="4"/>
    </row>
    <row r="89" spans="1:5" ht="14.25" customHeight="1">
      <c r="A89" s="1"/>
      <c r="B89" s="19"/>
      <c r="C89" s="4"/>
      <c r="D89" s="2"/>
      <c r="E89" s="4"/>
    </row>
    <row r="90" spans="1:5" ht="14.25" customHeight="1">
      <c r="A90" s="1"/>
      <c r="B90" s="19"/>
      <c r="C90" s="4"/>
      <c r="D90" s="2"/>
      <c r="E90" s="4"/>
    </row>
    <row r="91" spans="1:5" ht="14.25" customHeight="1">
      <c r="A91" s="1"/>
      <c r="B91" s="19"/>
      <c r="C91" s="4"/>
      <c r="D91" s="2"/>
      <c r="E91" s="4"/>
    </row>
    <row r="92" spans="1:5" ht="14.25" customHeight="1">
      <c r="A92" s="1"/>
      <c r="B92" s="19"/>
      <c r="C92" s="4"/>
      <c r="D92" s="2"/>
      <c r="E92" s="4"/>
    </row>
    <row r="93" spans="1:5" ht="14.25" customHeight="1">
      <c r="A93" s="1"/>
      <c r="B93" s="19"/>
      <c r="C93" s="4"/>
      <c r="D93" s="2"/>
      <c r="E93" s="4"/>
    </row>
    <row r="94" spans="1:5" ht="14.25" customHeight="1">
      <c r="A94" s="1"/>
      <c r="B94" s="19"/>
      <c r="C94" s="4"/>
      <c r="D94" s="2"/>
      <c r="E94" s="4"/>
    </row>
    <row r="95" spans="1:5" ht="14.25" customHeight="1">
      <c r="A95" s="1"/>
      <c r="B95" s="19"/>
      <c r="C95" s="4"/>
      <c r="D95" s="2"/>
      <c r="E95" s="4"/>
    </row>
    <row r="96" spans="1:5" ht="14.25" customHeight="1">
      <c r="A96" s="1"/>
      <c r="B96" s="19"/>
      <c r="C96" s="4"/>
      <c r="D96" s="2"/>
      <c r="E96" s="4"/>
    </row>
    <row r="97" spans="1:5" ht="14.25" customHeight="1">
      <c r="A97" s="1"/>
      <c r="B97" s="19"/>
      <c r="C97" s="4"/>
      <c r="D97" s="2"/>
      <c r="E97" s="4"/>
    </row>
    <row r="98" spans="1:5" ht="14.25" customHeight="1">
      <c r="A98" s="1"/>
      <c r="B98" s="19"/>
      <c r="C98" s="4"/>
      <c r="D98" s="2"/>
      <c r="E98" s="4"/>
    </row>
    <row r="99" spans="1:5" ht="14.25" customHeight="1">
      <c r="A99" s="1"/>
      <c r="B99" s="19"/>
      <c r="C99" s="4"/>
      <c r="D99" s="2"/>
      <c r="E99" s="4"/>
    </row>
    <row r="100" spans="1:5" ht="14.25" customHeight="1">
      <c r="A100" s="1"/>
      <c r="B100" s="19"/>
      <c r="C100" s="4"/>
      <c r="D100" s="2"/>
      <c r="E100" s="4"/>
    </row>
    <row r="101" spans="1:5" ht="14.25" customHeight="1">
      <c r="A101" s="1"/>
      <c r="B101" s="19"/>
      <c r="C101" s="4"/>
      <c r="D101" s="2"/>
      <c r="E101" s="4"/>
    </row>
    <row r="102" spans="1:5" ht="14.25" customHeight="1">
      <c r="A102" s="1"/>
      <c r="B102" s="19"/>
      <c r="C102" s="4"/>
      <c r="D102" s="2"/>
      <c r="E102" s="4"/>
    </row>
    <row r="103" spans="1:5" ht="14.25" customHeight="1">
      <c r="A103" s="1"/>
      <c r="B103" s="19"/>
      <c r="C103" s="4"/>
      <c r="D103" s="2"/>
      <c r="E103" s="4"/>
    </row>
    <row r="104" spans="1:5" ht="14.25" customHeight="1">
      <c r="A104" s="1"/>
      <c r="B104" s="19"/>
      <c r="C104" s="4"/>
      <c r="D104" s="2"/>
      <c r="E104" s="4"/>
    </row>
    <row r="105" spans="1:5" ht="14.25" customHeight="1">
      <c r="A105" s="1"/>
      <c r="B105" s="19"/>
      <c r="C105" s="4"/>
      <c r="D105" s="2"/>
      <c r="E105" s="4"/>
    </row>
    <row r="106" spans="1:5" ht="14.25" customHeight="1">
      <c r="A106" s="1"/>
      <c r="B106" s="19"/>
      <c r="C106" s="4"/>
      <c r="D106" s="2"/>
      <c r="E106" s="4"/>
    </row>
    <row r="107" spans="1:5" ht="14.25" customHeight="1">
      <c r="A107" s="1"/>
      <c r="B107" s="19"/>
      <c r="C107" s="4"/>
      <c r="D107" s="2"/>
      <c r="E107" s="4"/>
    </row>
    <row r="108" spans="1:5" ht="14.25" customHeight="1">
      <c r="A108" s="1"/>
      <c r="B108" s="19"/>
      <c r="C108" s="4"/>
      <c r="D108" s="2"/>
      <c r="E108" s="4"/>
    </row>
    <row r="109" spans="1:5" ht="14.25" customHeight="1">
      <c r="A109" s="1"/>
      <c r="B109" s="19"/>
      <c r="C109" s="4"/>
      <c r="D109" s="2"/>
      <c r="E109" s="4"/>
    </row>
    <row r="110" spans="1:5" ht="14.25" customHeight="1">
      <c r="A110" s="1"/>
      <c r="B110" s="19"/>
      <c r="C110" s="4"/>
      <c r="D110" s="2"/>
      <c r="E110" s="4"/>
    </row>
    <row r="111" spans="1:5" ht="14.25" customHeight="1">
      <c r="A111" s="1"/>
      <c r="B111" s="19"/>
      <c r="C111" s="4"/>
      <c r="D111" s="2"/>
      <c r="E111" s="4"/>
    </row>
    <row r="112" spans="1:5" ht="14.25" customHeight="1">
      <c r="A112" s="1"/>
      <c r="B112" s="19"/>
      <c r="C112" s="4"/>
      <c r="D112" s="2"/>
      <c r="E112" s="4"/>
    </row>
    <row r="113" spans="1:5" ht="14.25" customHeight="1">
      <c r="A113" s="1"/>
      <c r="B113" s="19"/>
      <c r="C113" s="4"/>
      <c r="D113" s="2"/>
      <c r="E113" s="4"/>
    </row>
    <row r="114" spans="1:5" ht="14.25" customHeight="1">
      <c r="A114" s="1"/>
      <c r="B114" s="19"/>
      <c r="C114" s="4"/>
      <c r="D114" s="2"/>
      <c r="E114" s="4"/>
    </row>
    <row r="115" spans="1:5" ht="14.25" customHeight="1">
      <c r="A115" s="1"/>
      <c r="B115" s="19"/>
      <c r="C115" s="4"/>
      <c r="D115" s="2"/>
      <c r="E115" s="4"/>
    </row>
    <row r="116" spans="1:5" ht="14.25" customHeight="1">
      <c r="A116" s="1"/>
      <c r="B116" s="19"/>
      <c r="C116" s="4"/>
      <c r="D116" s="2"/>
      <c r="E116" s="4"/>
    </row>
    <row r="117" spans="1:5" ht="14.25" customHeight="1">
      <c r="A117" s="1"/>
      <c r="B117" s="19"/>
      <c r="C117" s="4"/>
      <c r="D117" s="2"/>
      <c r="E117" s="4"/>
    </row>
    <row r="118" spans="1:5" ht="14.25" customHeight="1">
      <c r="A118" s="1"/>
      <c r="B118" s="19"/>
      <c r="C118" s="4"/>
      <c r="D118" s="2"/>
      <c r="E118" s="4"/>
    </row>
    <row r="119" spans="1:5" ht="14.25" customHeight="1">
      <c r="A119" s="1"/>
      <c r="B119" s="19"/>
      <c r="C119" s="4"/>
      <c r="D119" s="2"/>
      <c r="E119" s="4"/>
    </row>
    <row r="120" spans="1:5" ht="14.25" customHeight="1">
      <c r="A120" s="1"/>
      <c r="B120" s="19"/>
      <c r="C120" s="4"/>
      <c r="D120" s="2"/>
      <c r="E120" s="4"/>
    </row>
    <row r="121" spans="1:5" ht="14.25" customHeight="1">
      <c r="A121" s="1"/>
      <c r="B121" s="19"/>
      <c r="C121" s="4"/>
      <c r="D121" s="2"/>
      <c r="E121" s="4"/>
    </row>
    <row r="122" spans="1:5" ht="14.25" customHeight="1">
      <c r="A122" s="1"/>
      <c r="B122" s="19"/>
      <c r="C122" s="4"/>
      <c r="D122" s="2"/>
      <c r="E122" s="4"/>
    </row>
    <row r="123" spans="1:5" ht="14.25" customHeight="1">
      <c r="A123" s="1"/>
      <c r="B123" s="19"/>
      <c r="C123" s="4"/>
      <c r="D123" s="2"/>
      <c r="E123" s="4"/>
    </row>
    <row r="124" spans="1:5" ht="14.25" customHeight="1">
      <c r="A124" s="1"/>
      <c r="B124" s="19"/>
      <c r="C124" s="4"/>
      <c r="D124" s="2"/>
      <c r="E124" s="4"/>
    </row>
    <row r="125" spans="1:5" ht="14.25" customHeight="1">
      <c r="A125" s="1"/>
      <c r="B125" s="19"/>
      <c r="C125" s="4"/>
      <c r="D125" s="2"/>
      <c r="E125" s="4"/>
    </row>
    <row r="126" spans="1:5" ht="14.25" customHeight="1">
      <c r="A126" s="1"/>
      <c r="B126" s="19"/>
      <c r="C126" s="4"/>
      <c r="D126" s="2"/>
      <c r="E126" s="4"/>
    </row>
    <row r="127" spans="1:5" ht="14.25" customHeight="1">
      <c r="A127" s="1"/>
      <c r="B127" s="19"/>
      <c r="C127" s="4"/>
      <c r="D127" s="2"/>
      <c r="E127" s="4"/>
    </row>
    <row r="128" spans="1:5" ht="14.25" customHeight="1">
      <c r="A128" s="1"/>
      <c r="B128" s="19"/>
      <c r="C128" s="4"/>
      <c r="D128" s="2"/>
      <c r="E128" s="4"/>
    </row>
    <row r="129" spans="1:5" ht="14.25" customHeight="1">
      <c r="A129" s="1"/>
      <c r="B129" s="19"/>
      <c r="C129" s="4"/>
      <c r="D129" s="2"/>
      <c r="E129" s="4"/>
    </row>
    <row r="130" spans="1:5" ht="14.25" customHeight="1">
      <c r="A130" s="1"/>
      <c r="B130" s="19"/>
      <c r="C130" s="4"/>
      <c r="D130" s="2"/>
      <c r="E130" s="4"/>
    </row>
    <row r="131" spans="1:5" ht="14.25" customHeight="1">
      <c r="A131" s="1"/>
      <c r="B131" s="19"/>
      <c r="C131" s="4"/>
      <c r="D131" s="2"/>
      <c r="E131" s="4"/>
    </row>
    <row r="132" spans="1:5" ht="14.25" customHeight="1">
      <c r="A132" s="1"/>
      <c r="B132" s="19"/>
      <c r="C132" s="4"/>
      <c r="D132" s="2"/>
      <c r="E132" s="4"/>
    </row>
    <row r="133" spans="1:5" ht="14.25" customHeight="1">
      <c r="A133" s="1"/>
      <c r="B133" s="19"/>
      <c r="C133" s="4"/>
      <c r="D133" s="2"/>
      <c r="E133" s="4"/>
    </row>
    <row r="134" spans="1:5" ht="14.25" customHeight="1">
      <c r="A134" s="1"/>
      <c r="B134" s="19"/>
      <c r="C134" s="4"/>
      <c r="D134" s="2"/>
      <c r="E134" s="4"/>
    </row>
    <row r="135" spans="1:5" ht="14.25" customHeight="1">
      <c r="A135" s="1"/>
      <c r="B135" s="19"/>
      <c r="C135" s="4"/>
      <c r="D135" s="2"/>
      <c r="E135" s="4"/>
    </row>
    <row r="136" spans="1:5" ht="14.25" customHeight="1">
      <c r="A136" s="1"/>
      <c r="B136" s="19"/>
      <c r="C136" s="4"/>
      <c r="D136" s="2"/>
      <c r="E136" s="4"/>
    </row>
    <row r="137" spans="1:5" ht="14.25" customHeight="1">
      <c r="A137" s="1"/>
      <c r="B137" s="19"/>
      <c r="C137" s="4"/>
      <c r="D137" s="2"/>
      <c r="E137" s="4"/>
    </row>
    <row r="138" spans="1:5" ht="14.25" customHeight="1">
      <c r="A138" s="1"/>
      <c r="B138" s="19"/>
      <c r="C138" s="4"/>
      <c r="D138" s="2"/>
      <c r="E138" s="4"/>
    </row>
    <row r="139" spans="1:5" ht="14.25" customHeight="1">
      <c r="A139" s="1"/>
      <c r="B139" s="19"/>
      <c r="C139" s="4"/>
      <c r="D139" s="2"/>
      <c r="E139" s="4"/>
    </row>
    <row r="140" spans="1:5" ht="14.25" customHeight="1">
      <c r="A140" s="1"/>
      <c r="B140" s="19"/>
      <c r="C140" s="4"/>
      <c r="D140" s="2"/>
      <c r="E140" s="4"/>
    </row>
    <row r="141" spans="1:5" ht="14.25" customHeight="1">
      <c r="A141" s="1"/>
      <c r="B141" s="19"/>
      <c r="C141" s="4"/>
      <c r="D141" s="2"/>
      <c r="E141" s="4"/>
    </row>
    <row r="142" spans="1:5" ht="14.25" customHeight="1">
      <c r="A142" s="1"/>
      <c r="B142" s="19"/>
      <c r="C142" s="4"/>
      <c r="D142" s="2"/>
      <c r="E142" s="4"/>
    </row>
    <row r="143" spans="1:5" ht="14.25" customHeight="1">
      <c r="A143" s="1"/>
      <c r="B143" s="19"/>
      <c r="C143" s="4"/>
      <c r="D143" s="2"/>
      <c r="E143" s="4"/>
    </row>
    <row r="144" spans="1:5" ht="14.25" customHeight="1">
      <c r="A144" s="1"/>
      <c r="B144" s="19"/>
      <c r="C144" s="4"/>
      <c r="D144" s="2"/>
      <c r="E144" s="4"/>
    </row>
    <row r="145" spans="1:5" ht="14.25" customHeight="1">
      <c r="A145" s="1"/>
      <c r="B145" s="19"/>
      <c r="C145" s="4"/>
      <c r="D145" s="2"/>
      <c r="E145" s="4"/>
    </row>
    <row r="146" spans="1:5" ht="14.25" customHeight="1">
      <c r="A146" s="1"/>
      <c r="B146" s="19"/>
      <c r="C146" s="4"/>
      <c r="D146" s="2"/>
      <c r="E146" s="4"/>
    </row>
    <row r="147" spans="1:5" ht="14.25" customHeight="1">
      <c r="A147" s="1"/>
      <c r="B147" s="19"/>
      <c r="C147" s="4"/>
      <c r="D147" s="2"/>
      <c r="E147" s="4"/>
    </row>
    <row r="148" spans="1:5" ht="14.25" customHeight="1">
      <c r="A148" s="1"/>
      <c r="B148" s="19"/>
      <c r="C148" s="4"/>
      <c r="D148" s="2"/>
      <c r="E148" s="4"/>
    </row>
    <row r="149" spans="1:5" ht="14.25" customHeight="1">
      <c r="A149" s="1"/>
      <c r="B149" s="19"/>
      <c r="C149" s="4"/>
      <c r="D149" s="2"/>
      <c r="E149" s="4"/>
    </row>
    <row r="150" spans="1:5" ht="14.25" customHeight="1">
      <c r="A150" s="1"/>
      <c r="B150" s="19"/>
      <c r="C150" s="4"/>
      <c r="D150" s="2"/>
      <c r="E150" s="4"/>
    </row>
    <row r="151" spans="1:5" ht="14.25" customHeight="1">
      <c r="A151" s="1"/>
      <c r="B151" s="19"/>
      <c r="C151" s="4"/>
      <c r="D151" s="2"/>
      <c r="E151" s="4"/>
    </row>
    <row r="152" spans="1:5" ht="14.25" customHeight="1">
      <c r="A152" s="1"/>
      <c r="B152" s="19"/>
      <c r="C152" s="4"/>
      <c r="D152" s="2"/>
      <c r="E152" s="4"/>
    </row>
    <row r="153" spans="1:5" ht="14.25" customHeight="1">
      <c r="A153" s="1"/>
      <c r="B153" s="19"/>
      <c r="C153" s="4"/>
      <c r="D153" s="2"/>
      <c r="E153" s="4"/>
    </row>
    <row r="154" spans="1:5" ht="14.25" customHeight="1">
      <c r="A154" s="1"/>
      <c r="B154" s="19"/>
      <c r="C154" s="4"/>
      <c r="D154" s="2"/>
      <c r="E154" s="4"/>
    </row>
    <row r="155" spans="1:5" ht="14.25" customHeight="1">
      <c r="A155" s="1"/>
      <c r="B155" s="19"/>
      <c r="C155" s="4"/>
      <c r="D155" s="2"/>
      <c r="E155" s="4"/>
    </row>
    <row r="156" spans="1:5" ht="14.25" customHeight="1">
      <c r="A156" s="1"/>
      <c r="B156" s="19"/>
      <c r="C156" s="4"/>
      <c r="D156" s="2"/>
      <c r="E156" s="4"/>
    </row>
    <row r="157" spans="1:5" ht="14.25" customHeight="1">
      <c r="A157" s="1"/>
      <c r="B157" s="19"/>
      <c r="C157" s="4"/>
      <c r="D157" s="2"/>
      <c r="E157" s="4"/>
    </row>
    <row r="158" spans="1:5" ht="14.25" customHeight="1">
      <c r="A158" s="1"/>
      <c r="B158" s="19"/>
      <c r="C158" s="4"/>
      <c r="D158" s="2"/>
      <c r="E158" s="4"/>
    </row>
    <row r="159" spans="1:5" ht="14.25" customHeight="1">
      <c r="A159" s="1"/>
      <c r="B159" s="19"/>
      <c r="C159" s="4"/>
      <c r="D159" s="2"/>
      <c r="E159" s="4"/>
    </row>
    <row r="160" spans="1:5" ht="14.25" customHeight="1">
      <c r="A160" s="1"/>
      <c r="B160" s="19"/>
      <c r="C160" s="4"/>
      <c r="D160" s="2"/>
      <c r="E160" s="4"/>
    </row>
    <row r="161" spans="1:5" ht="14.25" customHeight="1">
      <c r="A161" s="1"/>
      <c r="B161" s="19"/>
      <c r="C161" s="4"/>
      <c r="D161" s="2"/>
      <c r="E161" s="4"/>
    </row>
    <row r="162" spans="1:5" ht="14.25" customHeight="1">
      <c r="A162" s="1"/>
      <c r="B162" s="19"/>
      <c r="C162" s="4"/>
      <c r="D162" s="2"/>
      <c r="E162" s="4"/>
    </row>
    <row r="163" spans="1:5" ht="14.25" customHeight="1">
      <c r="A163" s="1"/>
      <c r="B163" s="19"/>
      <c r="C163" s="4"/>
      <c r="D163" s="2"/>
      <c r="E163" s="4"/>
    </row>
    <row r="164" spans="1:5" ht="14.25" customHeight="1">
      <c r="A164" s="1"/>
      <c r="B164" s="19"/>
      <c r="C164" s="4"/>
      <c r="D164" s="2"/>
      <c r="E164" s="4"/>
    </row>
    <row r="165" spans="1:5" ht="14.25" customHeight="1">
      <c r="A165" s="1"/>
      <c r="B165" s="19"/>
      <c r="C165" s="4"/>
      <c r="D165" s="2"/>
      <c r="E165" s="4"/>
    </row>
    <row r="166" spans="1:5" ht="14.25" customHeight="1">
      <c r="A166" s="1"/>
      <c r="B166" s="19"/>
      <c r="C166" s="4"/>
      <c r="D166" s="2"/>
      <c r="E166" s="4"/>
    </row>
    <row r="167" spans="1:5" ht="14.25" customHeight="1">
      <c r="A167" s="1"/>
      <c r="B167" s="19"/>
      <c r="C167" s="4"/>
      <c r="D167" s="2"/>
      <c r="E167" s="4"/>
    </row>
    <row r="168" spans="1:5" ht="14.25" customHeight="1">
      <c r="A168" s="1"/>
      <c r="B168" s="19"/>
      <c r="C168" s="4"/>
      <c r="D168" s="2"/>
      <c r="E168" s="4"/>
    </row>
    <row r="169" spans="1:5" ht="14.25" customHeight="1">
      <c r="A169" s="1"/>
      <c r="B169" s="19"/>
      <c r="C169" s="4"/>
      <c r="D169" s="2"/>
      <c r="E169" s="4"/>
    </row>
    <row r="170" spans="1:5" ht="14.25" customHeight="1">
      <c r="A170" s="1"/>
      <c r="B170" s="19"/>
      <c r="C170" s="4"/>
      <c r="D170" s="2"/>
      <c r="E170" s="4"/>
    </row>
    <row r="171" spans="1:5" ht="14.25" customHeight="1">
      <c r="A171" s="1"/>
      <c r="B171" s="19"/>
      <c r="C171" s="4"/>
      <c r="D171" s="2"/>
      <c r="E171" s="4"/>
    </row>
    <row r="172" spans="1:5" ht="14.25" customHeight="1">
      <c r="A172" s="1"/>
      <c r="B172" s="19"/>
      <c r="C172" s="4"/>
      <c r="D172" s="2"/>
      <c r="E172" s="4"/>
    </row>
    <row r="173" spans="1:5" ht="14.25" customHeight="1">
      <c r="A173" s="1"/>
      <c r="B173" s="19"/>
      <c r="C173" s="4"/>
      <c r="D173" s="2"/>
      <c r="E173" s="4"/>
    </row>
    <row r="174" spans="1:5" ht="14.25" customHeight="1">
      <c r="A174" s="1"/>
      <c r="B174" s="19"/>
      <c r="C174" s="4"/>
      <c r="D174" s="2"/>
      <c r="E174" s="4"/>
    </row>
    <row r="175" spans="1:5" ht="14.25" customHeight="1">
      <c r="A175" s="1"/>
      <c r="B175" s="19"/>
      <c r="C175" s="4"/>
      <c r="D175" s="2"/>
      <c r="E175" s="4"/>
    </row>
    <row r="176" spans="1:5" ht="14.25" customHeight="1">
      <c r="A176" s="1"/>
      <c r="B176" s="19"/>
      <c r="C176" s="4"/>
      <c r="D176" s="2"/>
      <c r="E176" s="4"/>
    </row>
    <row r="177" spans="1:5" ht="14.25" customHeight="1">
      <c r="A177" s="1"/>
      <c r="B177" s="19"/>
      <c r="C177" s="4"/>
      <c r="D177" s="2"/>
      <c r="E177" s="4"/>
    </row>
    <row r="178" spans="1:5" ht="14.25" customHeight="1">
      <c r="A178" s="1"/>
      <c r="B178" s="19"/>
      <c r="C178" s="4"/>
      <c r="D178" s="2"/>
      <c r="E178" s="4"/>
    </row>
    <row r="179" spans="1:5" ht="14.25" customHeight="1">
      <c r="A179" s="1"/>
      <c r="B179" s="19"/>
      <c r="C179" s="4"/>
      <c r="D179" s="2"/>
      <c r="E179" s="4"/>
    </row>
    <row r="180" spans="1:5" ht="14.25" customHeight="1">
      <c r="A180" s="1"/>
      <c r="B180" s="19"/>
      <c r="C180" s="4"/>
      <c r="D180" s="2"/>
      <c r="E180" s="4"/>
    </row>
    <row r="181" spans="1:5" ht="14.25" customHeight="1">
      <c r="A181" s="1"/>
      <c r="B181" s="19"/>
      <c r="C181" s="4"/>
      <c r="D181" s="2"/>
      <c r="E181" s="4"/>
    </row>
    <row r="182" spans="1:5" ht="14.25" customHeight="1">
      <c r="A182" s="1"/>
      <c r="B182" s="19"/>
      <c r="C182" s="4"/>
      <c r="D182" s="2"/>
      <c r="E182" s="4"/>
    </row>
    <row r="183" spans="1:5" ht="14.25" customHeight="1">
      <c r="A183" s="1"/>
      <c r="B183" s="19"/>
      <c r="C183" s="4"/>
      <c r="D183" s="2"/>
      <c r="E183" s="4"/>
    </row>
    <row r="184" spans="1:5" ht="14.25" customHeight="1">
      <c r="A184" s="1"/>
      <c r="B184" s="19"/>
      <c r="C184" s="4"/>
      <c r="D184" s="2"/>
      <c r="E184" s="4"/>
    </row>
    <row r="185" spans="1:5" ht="14.25" customHeight="1">
      <c r="A185" s="1"/>
      <c r="B185" s="19"/>
      <c r="C185" s="4"/>
      <c r="D185" s="2"/>
      <c r="E185" s="4"/>
    </row>
    <row r="186" spans="1:5" ht="14.25" customHeight="1">
      <c r="A186" s="1"/>
      <c r="B186" s="19"/>
      <c r="C186" s="4"/>
      <c r="D186" s="2"/>
      <c r="E186" s="4"/>
    </row>
    <row r="187" spans="1:5" ht="14.25" customHeight="1">
      <c r="A187" s="1"/>
      <c r="B187" s="19"/>
      <c r="C187" s="4"/>
      <c r="D187" s="2"/>
      <c r="E187" s="4"/>
    </row>
    <row r="188" spans="1:5" ht="14.25" customHeight="1">
      <c r="A188" s="1"/>
      <c r="B188" s="19"/>
      <c r="C188" s="4"/>
      <c r="D188" s="2"/>
      <c r="E188" s="4"/>
    </row>
    <row r="189" spans="1:5" ht="14.25" customHeight="1">
      <c r="A189" s="1"/>
      <c r="B189" s="19"/>
      <c r="C189" s="4"/>
      <c r="D189" s="2"/>
      <c r="E189" s="4"/>
    </row>
    <row r="190" spans="1:5" ht="14.25" customHeight="1">
      <c r="A190" s="1"/>
      <c r="B190" s="19"/>
      <c r="C190" s="4"/>
      <c r="D190" s="2"/>
      <c r="E190" s="4"/>
    </row>
    <row r="191" spans="1:5" ht="14.25" customHeight="1">
      <c r="A191" s="1"/>
      <c r="B191" s="19"/>
      <c r="C191" s="4"/>
      <c r="D191" s="2"/>
      <c r="E191" s="4"/>
    </row>
    <row r="192" spans="1:5" ht="14.25" customHeight="1">
      <c r="A192" s="1"/>
      <c r="B192" s="19"/>
      <c r="C192" s="4"/>
      <c r="D192" s="2"/>
      <c r="E192" s="4"/>
    </row>
    <row r="193" spans="1:5" ht="14.25" customHeight="1">
      <c r="A193" s="1"/>
      <c r="B193" s="19"/>
      <c r="C193" s="4"/>
      <c r="D193" s="2"/>
      <c r="E193" s="4"/>
    </row>
    <row r="194" spans="1:5" ht="14.25" customHeight="1">
      <c r="A194" s="1"/>
      <c r="B194" s="19"/>
      <c r="C194" s="4"/>
      <c r="D194" s="2"/>
      <c r="E194" s="4"/>
    </row>
    <row r="195" spans="1:5" ht="14.25" customHeight="1">
      <c r="A195" s="1"/>
      <c r="B195" s="19"/>
      <c r="C195" s="4"/>
      <c r="D195" s="2"/>
      <c r="E195" s="4"/>
    </row>
    <row r="196" spans="1:5" ht="14.25" customHeight="1">
      <c r="A196" s="1"/>
      <c r="B196" s="19"/>
      <c r="C196" s="4"/>
      <c r="D196" s="2"/>
      <c r="E196" s="4"/>
    </row>
    <row r="197" spans="1:5" ht="14.25" customHeight="1">
      <c r="A197" s="1"/>
      <c r="B197" s="19"/>
      <c r="C197" s="4"/>
      <c r="D197" s="2"/>
      <c r="E197" s="4"/>
    </row>
    <row r="198" spans="1:5" ht="14.25" customHeight="1">
      <c r="A198" s="1"/>
      <c r="B198" s="19"/>
      <c r="C198" s="4"/>
      <c r="D198" s="2"/>
      <c r="E198" s="4"/>
    </row>
    <row r="199" spans="1:5" ht="14.25" customHeight="1">
      <c r="A199" s="1"/>
      <c r="B199" s="19"/>
      <c r="C199" s="4"/>
      <c r="D199" s="2"/>
      <c r="E199" s="4"/>
    </row>
    <row r="200" spans="1:5" ht="14.25" customHeight="1">
      <c r="A200" s="1"/>
      <c r="B200" s="19"/>
      <c r="C200" s="4"/>
      <c r="D200" s="2"/>
      <c r="E200" s="4"/>
    </row>
    <row r="201" spans="1:5" ht="14.25" customHeight="1">
      <c r="A201" s="1"/>
      <c r="B201" s="19"/>
      <c r="C201" s="4"/>
      <c r="D201" s="2"/>
      <c r="E201" s="4"/>
    </row>
    <row r="202" spans="1:5" ht="14.25" customHeight="1">
      <c r="A202" s="1"/>
      <c r="B202" s="19"/>
      <c r="C202" s="4"/>
      <c r="D202" s="2"/>
      <c r="E202" s="4"/>
    </row>
    <row r="203" spans="1:5" ht="14.25" customHeight="1">
      <c r="A203" s="1"/>
      <c r="B203" s="19"/>
      <c r="C203" s="4"/>
      <c r="D203" s="2"/>
      <c r="E203" s="4"/>
    </row>
    <row r="204" spans="1:5" ht="14.25" customHeight="1">
      <c r="A204" s="1"/>
      <c r="B204" s="19"/>
      <c r="C204" s="4"/>
      <c r="D204" s="2"/>
      <c r="E204" s="4"/>
    </row>
    <row r="205" spans="1:5" ht="14.25" customHeight="1">
      <c r="A205" s="1"/>
      <c r="B205" s="19"/>
      <c r="C205" s="4"/>
      <c r="D205" s="2"/>
      <c r="E205" s="4"/>
    </row>
    <row r="206" spans="1:5" ht="14.25" customHeight="1">
      <c r="A206" s="1"/>
      <c r="B206" s="19"/>
      <c r="C206" s="4"/>
      <c r="D206" s="2"/>
      <c r="E206" s="4"/>
    </row>
    <row r="207" spans="1:5" ht="14.25" customHeight="1">
      <c r="A207" s="1"/>
      <c r="B207" s="19"/>
      <c r="C207" s="4"/>
      <c r="D207" s="2"/>
      <c r="E207" s="4"/>
    </row>
    <row r="208" spans="1:5" ht="14.25" customHeight="1">
      <c r="A208" s="1"/>
      <c r="B208" s="19"/>
      <c r="C208" s="4"/>
      <c r="D208" s="2"/>
      <c r="E208" s="4"/>
    </row>
    <row r="209" spans="1:5" ht="14.25" customHeight="1">
      <c r="A209" s="1"/>
      <c r="B209" s="19"/>
      <c r="C209" s="4"/>
      <c r="D209" s="2"/>
      <c r="E209" s="4"/>
    </row>
    <row r="210" spans="1:5" ht="14.25" customHeight="1">
      <c r="A210" s="1"/>
      <c r="B210" s="19"/>
      <c r="C210" s="4"/>
      <c r="D210" s="2"/>
      <c r="E210" s="4"/>
    </row>
    <row r="211" spans="1:5" ht="14.25" customHeight="1">
      <c r="A211" s="1"/>
      <c r="B211" s="19"/>
      <c r="C211" s="4"/>
      <c r="D211" s="2"/>
      <c r="E211" s="4"/>
    </row>
    <row r="212" spans="1:5" ht="14.25" customHeight="1">
      <c r="A212" s="1"/>
      <c r="B212" s="19"/>
      <c r="C212" s="4"/>
      <c r="D212" s="2"/>
      <c r="E212" s="4"/>
    </row>
    <row r="213" spans="1:5" ht="14.25" customHeight="1">
      <c r="A213" s="1"/>
      <c r="B213" s="19"/>
      <c r="C213" s="4"/>
      <c r="D213" s="2"/>
      <c r="E213" s="4"/>
    </row>
    <row r="214" spans="1:5" ht="14.25" customHeight="1">
      <c r="A214" s="1"/>
      <c r="B214" s="19"/>
      <c r="C214" s="4"/>
      <c r="D214" s="2"/>
      <c r="E214" s="4"/>
    </row>
    <row r="215" spans="1:5" ht="14.25" customHeight="1">
      <c r="A215" s="1"/>
      <c r="B215" s="19"/>
      <c r="C215" s="4"/>
      <c r="D215" s="2"/>
      <c r="E215" s="4"/>
    </row>
    <row r="216" spans="1:5" ht="14.25" customHeight="1">
      <c r="A216" s="1"/>
      <c r="B216" s="19"/>
      <c r="C216" s="4"/>
      <c r="D216" s="2"/>
      <c r="E216" s="4"/>
    </row>
    <row r="217" spans="1:5" ht="14.25" customHeight="1">
      <c r="A217" s="1"/>
      <c r="B217" s="19"/>
      <c r="C217" s="4"/>
      <c r="D217" s="2"/>
      <c r="E217" s="4"/>
    </row>
    <row r="218" spans="1:5" ht="14.25" customHeight="1">
      <c r="A218" s="1"/>
      <c r="B218" s="19"/>
      <c r="C218" s="4"/>
      <c r="D218" s="2"/>
      <c r="E218" s="4"/>
    </row>
    <row r="219" spans="1:5" ht="14.25" customHeight="1">
      <c r="A219" s="1"/>
      <c r="B219" s="19"/>
      <c r="C219" s="4"/>
      <c r="D219" s="2"/>
      <c r="E219" s="4"/>
    </row>
    <row r="220" spans="1:5" ht="14.25" customHeight="1">
      <c r="A220" s="1"/>
      <c r="B220" s="19"/>
      <c r="C220" s="4"/>
      <c r="D220" s="2"/>
      <c r="E220" s="4"/>
    </row>
    <row r="221" spans="1:5" ht="14.25" customHeight="1">
      <c r="A221" s="1"/>
      <c r="B221" s="19"/>
      <c r="C221" s="4"/>
      <c r="D221" s="2"/>
      <c r="E221" s="4"/>
    </row>
    <row r="222" spans="1:5" ht="14.25" customHeight="1">
      <c r="A222" s="1"/>
      <c r="B222" s="19"/>
      <c r="C222" s="4"/>
      <c r="D222" s="2"/>
      <c r="E222" s="4"/>
    </row>
    <row r="223" spans="1:5" ht="14.25" customHeight="1">
      <c r="A223" s="1"/>
      <c r="B223" s="19"/>
      <c r="C223" s="4"/>
      <c r="D223" s="2"/>
      <c r="E223" s="4"/>
    </row>
    <row r="224" spans="1:5" ht="14.25" customHeight="1">
      <c r="A224" s="1"/>
      <c r="B224" s="19"/>
      <c r="C224" s="4"/>
      <c r="D224" s="2"/>
      <c r="E224" s="4"/>
    </row>
    <row r="225" spans="1:5" ht="14.25" customHeight="1">
      <c r="A225" s="1"/>
      <c r="B225" s="19"/>
      <c r="C225" s="4"/>
      <c r="D225" s="2"/>
      <c r="E225" s="4"/>
    </row>
    <row r="226" spans="1:5" ht="14.25" customHeight="1">
      <c r="A226" s="1"/>
      <c r="B226" s="19"/>
      <c r="C226" s="4"/>
      <c r="D226" s="2"/>
      <c r="E226" s="4"/>
    </row>
    <row r="227" spans="1:5" ht="14.25" customHeight="1">
      <c r="A227" s="1"/>
      <c r="B227" s="19"/>
      <c r="C227" s="4"/>
      <c r="D227" s="2"/>
      <c r="E227" s="4"/>
    </row>
    <row r="228" spans="1:5" ht="14.25" customHeight="1">
      <c r="A228" s="1"/>
      <c r="B228" s="19"/>
      <c r="C228" s="4"/>
      <c r="D228" s="2"/>
      <c r="E228" s="4"/>
    </row>
    <row r="229" spans="1:5" ht="14.25" customHeight="1">
      <c r="A229" s="1"/>
      <c r="B229" s="19"/>
      <c r="C229" s="4"/>
      <c r="D229" s="2"/>
      <c r="E229" s="4"/>
    </row>
    <row r="230" spans="1:5" ht="14.25" customHeight="1">
      <c r="A230" s="1"/>
      <c r="B230" s="19"/>
      <c r="C230" s="4"/>
      <c r="D230" s="2"/>
      <c r="E230" s="4"/>
    </row>
    <row r="231" spans="1:5" ht="14.25" customHeight="1">
      <c r="A231" s="1"/>
      <c r="B231" s="19"/>
      <c r="C231" s="4"/>
      <c r="D231" s="2"/>
      <c r="E231" s="4"/>
    </row>
    <row r="232" spans="1:5" ht="14.25" customHeight="1">
      <c r="A232" s="1"/>
      <c r="B232" s="19"/>
      <c r="C232" s="4"/>
      <c r="D232" s="2"/>
      <c r="E232" s="4"/>
    </row>
    <row r="233" spans="1:5" ht="14.25" customHeight="1">
      <c r="A233" s="1"/>
      <c r="B233" s="19"/>
      <c r="C233" s="4"/>
      <c r="D233" s="2"/>
      <c r="E233" s="4"/>
    </row>
    <row r="234" spans="1:5" ht="14.25" customHeight="1">
      <c r="A234" s="1"/>
      <c r="B234" s="19"/>
      <c r="C234" s="4"/>
      <c r="D234" s="2"/>
      <c r="E234" s="4"/>
    </row>
    <row r="235" spans="1:5" ht="14.25" customHeight="1">
      <c r="A235" s="1"/>
      <c r="B235" s="19"/>
      <c r="C235" s="4"/>
      <c r="D235" s="2"/>
      <c r="E235" s="4"/>
    </row>
    <row r="236" spans="1:5" ht="14.25" customHeight="1">
      <c r="A236" s="1"/>
      <c r="B236" s="19"/>
      <c r="C236" s="4"/>
      <c r="D236" s="2"/>
      <c r="E236" s="4"/>
    </row>
    <row r="237" spans="1:5" ht="14.25" customHeight="1">
      <c r="A237" s="1"/>
      <c r="B237" s="19"/>
      <c r="C237" s="4"/>
      <c r="D237" s="2"/>
      <c r="E237" s="4"/>
    </row>
    <row r="238" spans="1:5" ht="14.25" customHeight="1">
      <c r="A238" s="1"/>
      <c r="B238" s="19"/>
      <c r="C238" s="4"/>
      <c r="D238" s="2"/>
      <c r="E238" s="4"/>
    </row>
    <row r="239" spans="1:5" ht="14.25" customHeight="1">
      <c r="A239" s="1"/>
      <c r="B239" s="19"/>
      <c r="C239" s="4"/>
      <c r="D239" s="2"/>
      <c r="E239" s="4"/>
    </row>
    <row r="240" spans="1:5" ht="14.25" customHeight="1">
      <c r="A240" s="1"/>
      <c r="B240" s="19"/>
      <c r="C240" s="4"/>
      <c r="D240" s="2"/>
      <c r="E240" s="4"/>
    </row>
    <row r="241" spans="1:5" ht="14.25" customHeight="1">
      <c r="A241" s="1"/>
      <c r="B241" s="19"/>
      <c r="C241" s="4"/>
      <c r="D241" s="2"/>
      <c r="E241" s="4"/>
    </row>
    <row r="242" spans="1:5" ht="14.25" customHeight="1">
      <c r="A242" s="1"/>
      <c r="B242" s="19"/>
      <c r="C242" s="4"/>
      <c r="D242" s="2"/>
      <c r="E242" s="4"/>
    </row>
    <row r="243" spans="1:5" ht="14.25" customHeight="1">
      <c r="A243" s="1"/>
      <c r="B243" s="19"/>
      <c r="C243" s="4"/>
      <c r="D243" s="2"/>
      <c r="E243" s="4"/>
    </row>
    <row r="244" spans="1:5" ht="14.25" customHeight="1">
      <c r="A244" s="1"/>
      <c r="B244" s="19"/>
      <c r="C244" s="4"/>
      <c r="D244" s="2"/>
      <c r="E244" s="4"/>
    </row>
    <row r="245" spans="1:5" ht="14.25" customHeight="1">
      <c r="A245" s="1"/>
      <c r="B245" s="19"/>
      <c r="C245" s="4"/>
      <c r="D245" s="2"/>
      <c r="E245" s="4"/>
    </row>
    <row r="246" spans="1:5" ht="14.25" customHeight="1">
      <c r="A246" s="1"/>
      <c r="B246" s="19"/>
      <c r="C246" s="4"/>
      <c r="D246" s="2"/>
      <c r="E246" s="4"/>
    </row>
    <row r="247" spans="1:5" ht="14.25" customHeight="1">
      <c r="A247" s="1"/>
      <c r="B247" s="19"/>
      <c r="C247" s="4"/>
      <c r="D247" s="2"/>
      <c r="E247" s="4"/>
    </row>
    <row r="248" spans="1:5" ht="14.25" customHeight="1">
      <c r="A248" s="1"/>
      <c r="B248" s="19"/>
      <c r="C248" s="4"/>
      <c r="D248" s="2"/>
      <c r="E248" s="4"/>
    </row>
    <row r="249" spans="1:5" ht="14.25" customHeight="1">
      <c r="A249" s="1"/>
      <c r="B249" s="19"/>
      <c r="C249" s="4"/>
      <c r="D249" s="2"/>
      <c r="E249" s="4"/>
    </row>
    <row r="250" spans="1:5" ht="14.25" customHeight="1">
      <c r="A250" s="1"/>
      <c r="B250" s="19"/>
      <c r="C250" s="4"/>
      <c r="D250" s="2"/>
      <c r="E250" s="4"/>
    </row>
    <row r="251" spans="1:5" ht="14.25" customHeight="1">
      <c r="A251" s="1"/>
      <c r="B251" s="19"/>
      <c r="C251" s="4"/>
      <c r="D251" s="2"/>
      <c r="E251" s="4"/>
    </row>
    <row r="252" spans="1:5" ht="14.25" customHeight="1">
      <c r="A252" s="1"/>
      <c r="B252" s="19"/>
      <c r="C252" s="4"/>
      <c r="D252" s="2"/>
      <c r="E252" s="4"/>
    </row>
    <row r="253" spans="1:5" ht="14.25" customHeight="1">
      <c r="A253" s="1"/>
      <c r="B253" s="19"/>
      <c r="C253" s="4"/>
      <c r="D253" s="2"/>
      <c r="E253" s="4"/>
    </row>
    <row r="254" spans="1:5" ht="14.25" customHeight="1">
      <c r="A254" s="1"/>
      <c r="B254" s="19"/>
      <c r="C254" s="4"/>
      <c r="D254" s="2"/>
      <c r="E254" s="4"/>
    </row>
    <row r="255" spans="1:5" ht="14.25" customHeight="1">
      <c r="A255" s="1"/>
      <c r="B255" s="19"/>
      <c r="C255" s="4"/>
      <c r="D255" s="2"/>
      <c r="E255" s="4"/>
    </row>
    <row r="256" spans="1:5" ht="14.25" customHeight="1">
      <c r="A256" s="1"/>
      <c r="B256" s="19"/>
      <c r="C256" s="4"/>
      <c r="D256" s="2"/>
      <c r="E256" s="4"/>
    </row>
    <row r="257" spans="1:5" ht="14.25" customHeight="1">
      <c r="A257" s="1"/>
      <c r="B257" s="19"/>
      <c r="C257" s="4"/>
      <c r="D257" s="2"/>
      <c r="E257" s="4"/>
    </row>
    <row r="258" spans="1:5" ht="14.25" customHeight="1">
      <c r="A258" s="1"/>
      <c r="B258" s="19"/>
      <c r="C258" s="4"/>
      <c r="D258" s="2"/>
      <c r="E258" s="4"/>
    </row>
    <row r="259" spans="1:5" ht="14.25" customHeight="1">
      <c r="A259" s="1"/>
      <c r="B259" s="19"/>
      <c r="C259" s="4"/>
      <c r="D259" s="2"/>
      <c r="E259" s="4"/>
    </row>
    <row r="260" spans="1:5" ht="14.25" customHeight="1">
      <c r="A260" s="1"/>
      <c r="B260" s="19"/>
      <c r="C260" s="4"/>
      <c r="D260" s="2"/>
      <c r="E260" s="4"/>
    </row>
    <row r="261" spans="1:5" ht="14.25" customHeight="1">
      <c r="A261" s="1"/>
      <c r="B261" s="19"/>
      <c r="C261" s="4"/>
      <c r="D261" s="2"/>
      <c r="E261" s="4"/>
    </row>
    <row r="262" spans="1:5" ht="14.25" customHeight="1">
      <c r="A262" s="1"/>
      <c r="B262" s="19"/>
      <c r="C262" s="4"/>
      <c r="D262" s="2"/>
      <c r="E262" s="4"/>
    </row>
    <row r="263" spans="1:5" ht="14.25" customHeight="1">
      <c r="A263" s="1"/>
      <c r="B263" s="19"/>
      <c r="C263" s="4"/>
      <c r="D263" s="2"/>
      <c r="E263" s="4"/>
    </row>
    <row r="264" spans="1:5" ht="14.25" customHeight="1">
      <c r="A264" s="1"/>
      <c r="B264" s="19"/>
      <c r="C264" s="4"/>
      <c r="D264" s="2"/>
      <c r="E264" s="4"/>
    </row>
    <row r="265" spans="1:5" ht="14.25" customHeight="1">
      <c r="A265" s="1"/>
      <c r="B265" s="19"/>
      <c r="C265" s="4"/>
      <c r="D265" s="2"/>
      <c r="E265" s="4"/>
    </row>
    <row r="266" spans="1:5" ht="14.25" customHeight="1">
      <c r="A266" s="1"/>
      <c r="B266" s="19"/>
      <c r="C266" s="4"/>
      <c r="D266" s="2"/>
      <c r="E266" s="4"/>
    </row>
    <row r="267" spans="1:5" ht="14.25" customHeight="1">
      <c r="A267" s="1"/>
      <c r="B267" s="19"/>
      <c r="C267" s="4"/>
      <c r="D267" s="2"/>
      <c r="E267" s="4"/>
    </row>
    <row r="268" spans="1:5" ht="14.25" customHeight="1">
      <c r="A268" s="1"/>
      <c r="B268" s="19"/>
      <c r="C268" s="4"/>
      <c r="D268" s="2"/>
      <c r="E268" s="4"/>
    </row>
    <row r="269" spans="1:5" ht="14.25" customHeight="1">
      <c r="A269" s="1"/>
      <c r="B269" s="19"/>
      <c r="C269" s="4"/>
      <c r="D269" s="2"/>
      <c r="E269" s="4"/>
    </row>
    <row r="270" spans="1:5" ht="14.25" customHeight="1">
      <c r="A270" s="1"/>
      <c r="B270" s="19"/>
      <c r="C270" s="4"/>
      <c r="D270" s="2"/>
      <c r="E270" s="4"/>
    </row>
    <row r="271" spans="1:5" ht="14.25" customHeight="1">
      <c r="A271" s="1"/>
      <c r="B271" s="19"/>
      <c r="C271" s="4"/>
      <c r="D271" s="2"/>
      <c r="E271" s="4"/>
    </row>
    <row r="272" spans="1:5" ht="14.25" customHeight="1">
      <c r="A272" s="1"/>
      <c r="B272" s="19"/>
      <c r="C272" s="4"/>
      <c r="D272" s="2"/>
      <c r="E272" s="4"/>
    </row>
    <row r="273" spans="1:5" ht="14.25" customHeight="1">
      <c r="A273" s="1"/>
      <c r="B273" s="19"/>
      <c r="C273" s="4"/>
      <c r="D273" s="2"/>
      <c r="E273" s="4"/>
    </row>
    <row r="274" spans="1:5" ht="14.25" customHeight="1">
      <c r="A274" s="1"/>
      <c r="B274" s="19"/>
      <c r="C274" s="4"/>
      <c r="D274" s="2"/>
      <c r="E274" s="4"/>
    </row>
    <row r="275" spans="1:5" ht="14.25" customHeight="1">
      <c r="A275" s="1"/>
      <c r="B275" s="19"/>
      <c r="C275" s="4"/>
      <c r="D275" s="2"/>
      <c r="E275" s="4"/>
    </row>
    <row r="276" spans="1:5" ht="14.25" customHeight="1">
      <c r="A276" s="1"/>
      <c r="B276" s="19"/>
      <c r="C276" s="4"/>
      <c r="D276" s="2"/>
      <c r="E276" s="4"/>
    </row>
    <row r="277" spans="1:5" ht="14.25" customHeight="1">
      <c r="A277" s="1"/>
      <c r="B277" s="19"/>
      <c r="C277" s="4"/>
      <c r="D277" s="2"/>
      <c r="E277" s="4"/>
    </row>
    <row r="278" spans="1:5" ht="14.25" customHeight="1">
      <c r="A278" s="1"/>
      <c r="B278" s="19"/>
      <c r="C278" s="4"/>
      <c r="D278" s="2"/>
      <c r="E278" s="4"/>
    </row>
    <row r="279" spans="1:5" ht="14.25" customHeight="1">
      <c r="A279" s="1"/>
      <c r="B279" s="19"/>
      <c r="C279" s="4"/>
      <c r="D279" s="2"/>
      <c r="E279" s="4"/>
    </row>
    <row r="280" spans="1:5" ht="14.25" customHeight="1">
      <c r="A280" s="1"/>
      <c r="B280" s="19"/>
      <c r="C280" s="4"/>
      <c r="D280" s="2"/>
      <c r="E280" s="4"/>
    </row>
    <row r="281" spans="1:5" ht="14.25" customHeight="1">
      <c r="A281" s="1"/>
      <c r="B281" s="19"/>
      <c r="C281" s="4"/>
      <c r="D281" s="2"/>
      <c r="E281" s="4"/>
    </row>
    <row r="282" spans="1:5" ht="14.25" customHeight="1">
      <c r="A282" s="1"/>
      <c r="B282" s="19"/>
      <c r="C282" s="4"/>
      <c r="D282" s="2"/>
      <c r="E282" s="4"/>
    </row>
    <row r="283" spans="1:5" ht="14.25" customHeight="1">
      <c r="A283" s="1"/>
      <c r="B283" s="19"/>
      <c r="C283" s="4"/>
      <c r="D283" s="2"/>
      <c r="E283" s="4"/>
    </row>
    <row r="284" spans="1:5" ht="14.25" customHeight="1">
      <c r="A284" s="1"/>
      <c r="B284" s="19"/>
      <c r="C284" s="4"/>
      <c r="D284" s="2"/>
      <c r="E284" s="4"/>
    </row>
    <row r="285" spans="1:5" ht="14.25" customHeight="1">
      <c r="A285" s="1"/>
      <c r="B285" s="19"/>
      <c r="C285" s="4"/>
      <c r="D285" s="2"/>
      <c r="E285" s="4"/>
    </row>
    <row r="286" spans="1:5" ht="14.25" customHeight="1">
      <c r="A286" s="1"/>
      <c r="B286" s="19"/>
      <c r="C286" s="4"/>
      <c r="D286" s="2"/>
      <c r="E286" s="4"/>
    </row>
    <row r="287" spans="1:5" ht="14.25" customHeight="1">
      <c r="A287" s="1"/>
      <c r="B287" s="19"/>
      <c r="C287" s="4"/>
      <c r="D287" s="2"/>
      <c r="E287" s="4"/>
    </row>
    <row r="288" spans="1:5" ht="14.25" customHeight="1">
      <c r="A288" s="1"/>
      <c r="B288" s="19"/>
      <c r="C288" s="4"/>
      <c r="D288" s="2"/>
      <c r="E288" s="4"/>
    </row>
    <row r="289" spans="1:5" ht="14.25" customHeight="1">
      <c r="A289" s="1"/>
      <c r="B289" s="19"/>
      <c r="C289" s="4"/>
      <c r="D289" s="2"/>
      <c r="E289" s="4"/>
    </row>
    <row r="290" spans="1:5" ht="14.25" customHeight="1">
      <c r="A290" s="1"/>
      <c r="B290" s="19"/>
      <c r="C290" s="4"/>
      <c r="D290" s="2"/>
      <c r="E290" s="4"/>
    </row>
    <row r="291" spans="1:5" ht="14.25" customHeight="1">
      <c r="A291" s="1"/>
      <c r="B291" s="19"/>
      <c r="C291" s="4"/>
      <c r="D291" s="2"/>
      <c r="E291" s="4"/>
    </row>
    <row r="292" spans="1:5" ht="14.25" customHeight="1">
      <c r="A292" s="1"/>
      <c r="B292" s="19"/>
      <c r="C292" s="4"/>
      <c r="D292" s="2"/>
      <c r="E292" s="4"/>
    </row>
    <row r="293" spans="1:5" ht="14.25" customHeight="1">
      <c r="A293" s="1"/>
      <c r="B293" s="19"/>
      <c r="C293" s="4"/>
      <c r="D293" s="2"/>
      <c r="E293" s="4"/>
    </row>
    <row r="294" spans="1:5" ht="14.25" customHeight="1">
      <c r="A294" s="1"/>
      <c r="B294" s="19"/>
      <c r="C294" s="4"/>
      <c r="D294" s="2"/>
      <c r="E294" s="4"/>
    </row>
    <row r="295" spans="1:5" ht="14.25" customHeight="1">
      <c r="A295" s="1"/>
      <c r="B295" s="19"/>
      <c r="C295" s="4"/>
      <c r="D295" s="2"/>
      <c r="E295" s="4"/>
    </row>
    <row r="296" spans="1:5" ht="14.25" customHeight="1">
      <c r="A296" s="1"/>
      <c r="B296" s="19"/>
      <c r="C296" s="4"/>
      <c r="D296" s="2"/>
      <c r="E296" s="4"/>
    </row>
    <row r="297" spans="1:5" ht="14.25" customHeight="1">
      <c r="A297" s="1"/>
      <c r="B297" s="19"/>
      <c r="C297" s="4"/>
      <c r="D297" s="2"/>
      <c r="E297" s="4"/>
    </row>
    <row r="298" spans="1:5" ht="14.25" customHeight="1">
      <c r="A298" s="1"/>
      <c r="B298" s="19"/>
      <c r="C298" s="4"/>
      <c r="D298" s="2"/>
      <c r="E298" s="4"/>
    </row>
    <row r="299" spans="1:5" ht="14.25" customHeight="1">
      <c r="A299" s="1"/>
      <c r="B299" s="19"/>
      <c r="C299" s="4"/>
      <c r="D299" s="2"/>
      <c r="E299" s="4"/>
    </row>
    <row r="300" spans="1:5" ht="14.25" customHeight="1">
      <c r="A300" s="1"/>
      <c r="B300" s="19"/>
      <c r="C300" s="4"/>
      <c r="D300" s="2"/>
      <c r="E300" s="4"/>
    </row>
    <row r="301" spans="1:5" ht="14.25" customHeight="1">
      <c r="A301" s="1"/>
      <c r="B301" s="19"/>
      <c r="C301" s="4"/>
      <c r="D301" s="2"/>
      <c r="E301" s="4"/>
    </row>
    <row r="302" spans="1:5" ht="14.25" customHeight="1">
      <c r="A302" s="1"/>
      <c r="B302" s="19"/>
      <c r="C302" s="4"/>
      <c r="D302" s="2"/>
      <c r="E302" s="4"/>
    </row>
    <row r="303" spans="1:5" ht="14.25" customHeight="1">
      <c r="A303" s="1"/>
      <c r="B303" s="19"/>
      <c r="C303" s="4"/>
      <c r="D303" s="2"/>
      <c r="E303" s="4"/>
    </row>
    <row r="304" spans="1:5" ht="14.25" customHeight="1">
      <c r="A304" s="1"/>
      <c r="B304" s="19"/>
      <c r="C304" s="4"/>
      <c r="D304" s="2"/>
      <c r="E304" s="4"/>
    </row>
    <row r="305" spans="1:5" ht="14.25" customHeight="1">
      <c r="A305" s="1"/>
      <c r="B305" s="19"/>
      <c r="C305" s="4"/>
      <c r="D305" s="2"/>
      <c r="E305" s="4"/>
    </row>
    <row r="306" spans="1:5" ht="14.25" customHeight="1">
      <c r="A306" s="1"/>
      <c r="B306" s="19"/>
      <c r="C306" s="4"/>
      <c r="D306" s="2"/>
      <c r="E306" s="4"/>
    </row>
    <row r="307" spans="1:5" ht="14.25" customHeight="1">
      <c r="A307" s="1"/>
      <c r="B307" s="19"/>
      <c r="C307" s="4"/>
      <c r="D307" s="2"/>
      <c r="E307" s="4"/>
    </row>
    <row r="308" spans="1:5" ht="14.25" customHeight="1">
      <c r="A308" s="1"/>
      <c r="B308" s="19"/>
      <c r="C308" s="4"/>
      <c r="D308" s="2"/>
      <c r="E308" s="4"/>
    </row>
    <row r="309" spans="1:5" ht="14.25" customHeight="1">
      <c r="A309" s="1"/>
      <c r="B309" s="19"/>
      <c r="C309" s="4"/>
      <c r="D309" s="2"/>
      <c r="E309" s="4"/>
    </row>
    <row r="310" spans="1:5" ht="14.25" customHeight="1">
      <c r="A310" s="1"/>
      <c r="B310" s="19"/>
      <c r="C310" s="4"/>
      <c r="D310" s="2"/>
      <c r="E310" s="4"/>
    </row>
    <row r="311" spans="1:5" ht="14.25" customHeight="1">
      <c r="A311" s="1"/>
      <c r="B311" s="19"/>
      <c r="C311" s="4"/>
      <c r="D311" s="2"/>
      <c r="E311" s="4"/>
    </row>
    <row r="312" spans="1:5" ht="14.25" customHeight="1">
      <c r="A312" s="1"/>
      <c r="B312" s="19"/>
      <c r="C312" s="4"/>
      <c r="D312" s="2"/>
      <c r="E312" s="4"/>
    </row>
    <row r="313" spans="1:5" ht="14.25" customHeight="1">
      <c r="A313" s="1"/>
      <c r="B313" s="19"/>
      <c r="C313" s="4"/>
      <c r="D313" s="2"/>
      <c r="E313" s="4"/>
    </row>
    <row r="314" spans="1:5" ht="14.25" customHeight="1">
      <c r="A314" s="1"/>
      <c r="B314" s="19"/>
      <c r="C314" s="4"/>
      <c r="D314" s="2"/>
      <c r="E314" s="4"/>
    </row>
    <row r="315" spans="1:5" ht="14.25" customHeight="1">
      <c r="A315" s="1"/>
      <c r="B315" s="19"/>
      <c r="C315" s="4"/>
      <c r="D315" s="2"/>
      <c r="E315" s="4"/>
    </row>
    <row r="316" spans="1:5" ht="14.25" customHeight="1">
      <c r="A316" s="1"/>
      <c r="B316" s="19"/>
      <c r="C316" s="4"/>
      <c r="D316" s="2"/>
      <c r="E316" s="4"/>
    </row>
    <row r="317" spans="1:5" ht="14.25" customHeight="1">
      <c r="A317" s="1"/>
      <c r="B317" s="19"/>
      <c r="C317" s="4"/>
      <c r="D317" s="2"/>
      <c r="E317" s="4"/>
    </row>
    <row r="318" spans="1:5" ht="14.25" customHeight="1">
      <c r="A318" s="1"/>
      <c r="B318" s="19"/>
      <c r="C318" s="4"/>
      <c r="D318" s="2"/>
      <c r="E318" s="4"/>
    </row>
    <row r="319" spans="1:5" ht="14.25" customHeight="1">
      <c r="A319" s="1"/>
      <c r="B319" s="19"/>
      <c r="C319" s="4"/>
      <c r="D319" s="2"/>
      <c r="E319" s="4"/>
    </row>
    <row r="320" spans="1:5" ht="14.25" customHeight="1">
      <c r="A320" s="1"/>
      <c r="B320" s="19"/>
      <c r="C320" s="4"/>
      <c r="D320" s="2"/>
      <c r="E320" s="4"/>
    </row>
    <row r="321" spans="1:5" ht="14.25" customHeight="1">
      <c r="A321" s="1"/>
      <c r="B321" s="19"/>
      <c r="C321" s="4"/>
      <c r="D321" s="2"/>
      <c r="E321" s="4"/>
    </row>
    <row r="322" spans="1:5" ht="14.25" customHeight="1">
      <c r="A322" s="1"/>
      <c r="B322" s="19"/>
      <c r="C322" s="4"/>
      <c r="D322" s="2"/>
      <c r="E322" s="4"/>
    </row>
    <row r="323" spans="1:5" ht="14.25" customHeight="1">
      <c r="A323" s="1"/>
      <c r="B323" s="19"/>
      <c r="C323" s="4"/>
      <c r="D323" s="2"/>
      <c r="E323" s="4"/>
    </row>
    <row r="324" spans="1:5" ht="14.25" customHeight="1">
      <c r="A324" s="1"/>
      <c r="B324" s="19"/>
      <c r="C324" s="4"/>
      <c r="D324" s="2"/>
      <c r="E324" s="4"/>
    </row>
    <row r="325" spans="1:5" ht="14.25" customHeight="1">
      <c r="A325" s="1"/>
      <c r="B325" s="19"/>
      <c r="C325" s="4"/>
      <c r="D325" s="2"/>
      <c r="E325" s="4"/>
    </row>
    <row r="326" spans="1:5" ht="14.25" customHeight="1">
      <c r="A326" s="1"/>
      <c r="B326" s="19"/>
      <c r="C326" s="4"/>
      <c r="D326" s="2"/>
      <c r="E326" s="4"/>
    </row>
    <row r="327" spans="1:5" ht="14.25" customHeight="1">
      <c r="A327" s="1"/>
      <c r="B327" s="19"/>
      <c r="C327" s="4"/>
      <c r="D327" s="2"/>
      <c r="E327" s="4"/>
    </row>
    <row r="328" spans="1:5" ht="14.25" customHeight="1">
      <c r="A328" s="1"/>
      <c r="B328" s="19"/>
      <c r="C328" s="4"/>
      <c r="D328" s="2"/>
      <c r="E328" s="4"/>
    </row>
    <row r="329" spans="1:5" ht="14.25" customHeight="1">
      <c r="A329" s="1"/>
      <c r="B329" s="19"/>
      <c r="C329" s="4"/>
      <c r="D329" s="2"/>
      <c r="E329" s="4"/>
    </row>
    <row r="330" spans="1:5" ht="14.25" customHeight="1">
      <c r="A330" s="1"/>
      <c r="B330" s="19"/>
      <c r="C330" s="4"/>
      <c r="D330" s="2"/>
      <c r="E330" s="4"/>
    </row>
    <row r="331" spans="1:5" ht="14.25" customHeight="1">
      <c r="A331" s="1"/>
      <c r="B331" s="19"/>
      <c r="C331" s="4"/>
      <c r="D331" s="2"/>
      <c r="E331" s="4"/>
    </row>
    <row r="332" spans="1:5" ht="14.25" customHeight="1">
      <c r="A332" s="1"/>
      <c r="B332" s="19"/>
      <c r="C332" s="4"/>
      <c r="D332" s="2"/>
      <c r="E332" s="4"/>
    </row>
    <row r="333" spans="1:5" ht="14.25" customHeight="1">
      <c r="A333" s="1"/>
      <c r="B333" s="19"/>
      <c r="C333" s="4"/>
      <c r="D333" s="2"/>
      <c r="E333" s="4"/>
    </row>
    <row r="334" spans="1:5" ht="14.25" customHeight="1">
      <c r="A334" s="1"/>
      <c r="B334" s="19"/>
      <c r="C334" s="4"/>
      <c r="D334" s="2"/>
      <c r="E334" s="4"/>
    </row>
    <row r="335" spans="1:5" ht="14.25" customHeight="1">
      <c r="A335" s="1"/>
      <c r="B335" s="19"/>
      <c r="C335" s="4"/>
      <c r="D335" s="2"/>
      <c r="E335" s="4"/>
    </row>
    <row r="336" spans="1:5" ht="14.25" customHeight="1">
      <c r="A336" s="1"/>
      <c r="B336" s="19"/>
      <c r="C336" s="4"/>
      <c r="D336" s="2"/>
      <c r="E336" s="4"/>
    </row>
    <row r="337" spans="1:5" ht="14.25" customHeight="1">
      <c r="A337" s="1"/>
      <c r="B337" s="19"/>
      <c r="C337" s="4"/>
      <c r="D337" s="2"/>
      <c r="E337" s="4"/>
    </row>
    <row r="338" spans="1:5" ht="14.25" customHeight="1">
      <c r="A338" s="1"/>
      <c r="B338" s="19"/>
      <c r="C338" s="4"/>
      <c r="D338" s="2"/>
      <c r="E338" s="4"/>
    </row>
    <row r="339" spans="1:5" ht="14.25" customHeight="1">
      <c r="A339" s="1"/>
      <c r="B339" s="19"/>
      <c r="C339" s="4"/>
      <c r="D339" s="2"/>
      <c r="E339" s="4"/>
    </row>
    <row r="340" spans="1:5" ht="14.25" customHeight="1">
      <c r="A340" s="1"/>
      <c r="B340" s="19"/>
      <c r="C340" s="4"/>
      <c r="D340" s="2"/>
      <c r="E340" s="4"/>
    </row>
    <row r="341" spans="1:5" ht="14.25" customHeight="1">
      <c r="A341" s="1"/>
      <c r="B341" s="19"/>
      <c r="C341" s="4"/>
      <c r="D341" s="2"/>
      <c r="E341" s="4"/>
    </row>
    <row r="342" spans="1:5" ht="14.25" customHeight="1">
      <c r="A342" s="1"/>
      <c r="B342" s="19"/>
      <c r="C342" s="4"/>
      <c r="D342" s="2"/>
      <c r="E342" s="4"/>
    </row>
    <row r="343" spans="1:5" ht="14.25" customHeight="1">
      <c r="A343" s="1"/>
      <c r="B343" s="19"/>
      <c r="C343" s="4"/>
      <c r="D343" s="2"/>
      <c r="E343" s="4"/>
    </row>
    <row r="344" spans="1:5" ht="14.25" customHeight="1">
      <c r="A344" s="1"/>
      <c r="B344" s="19"/>
      <c r="C344" s="4"/>
      <c r="D344" s="2"/>
      <c r="E344" s="4"/>
    </row>
    <row r="345" spans="1:5" ht="14.25" customHeight="1">
      <c r="A345" s="1"/>
      <c r="B345" s="19"/>
      <c r="C345" s="4"/>
      <c r="D345" s="2"/>
      <c r="E345" s="4"/>
    </row>
    <row r="346" spans="1:5" ht="14.25" customHeight="1">
      <c r="A346" s="1"/>
      <c r="B346" s="19"/>
      <c r="C346" s="4"/>
      <c r="D346" s="2"/>
      <c r="E346" s="4"/>
    </row>
    <row r="347" spans="1:5" ht="14.25" customHeight="1">
      <c r="A347" s="1"/>
      <c r="B347" s="19"/>
      <c r="C347" s="4"/>
      <c r="D347" s="2"/>
      <c r="E347" s="4"/>
    </row>
    <row r="348" spans="1:5" ht="14.25" customHeight="1">
      <c r="A348" s="1"/>
      <c r="B348" s="19"/>
      <c r="C348" s="4"/>
      <c r="D348" s="2"/>
      <c r="E348" s="4"/>
    </row>
    <row r="349" spans="1:5" ht="14.25" customHeight="1">
      <c r="A349" s="1"/>
      <c r="B349" s="19"/>
      <c r="C349" s="4"/>
      <c r="D349" s="2"/>
      <c r="E349" s="4"/>
    </row>
    <row r="350" spans="1:5" ht="14.25" customHeight="1">
      <c r="A350" s="1"/>
      <c r="B350" s="19"/>
      <c r="C350" s="4"/>
      <c r="D350" s="2"/>
      <c r="E350" s="4"/>
    </row>
    <row r="351" spans="1:5" ht="14.25" customHeight="1">
      <c r="A351" s="1"/>
      <c r="B351" s="19"/>
      <c r="C351" s="4"/>
      <c r="D351" s="2"/>
      <c r="E351" s="4"/>
    </row>
    <row r="352" spans="1:5" ht="14.25" customHeight="1">
      <c r="A352" s="1"/>
      <c r="B352" s="19"/>
      <c r="C352" s="4"/>
      <c r="D352" s="2"/>
      <c r="E352" s="4"/>
    </row>
    <row r="353" spans="1:5" ht="14.25" customHeight="1">
      <c r="A353" s="1"/>
      <c r="B353" s="19"/>
      <c r="C353" s="4"/>
      <c r="D353" s="2"/>
      <c r="E353" s="4"/>
    </row>
    <row r="354" spans="1:5" ht="14.25" customHeight="1">
      <c r="A354" s="1"/>
      <c r="B354" s="19"/>
      <c r="C354" s="4"/>
      <c r="D354" s="2"/>
      <c r="E354" s="4"/>
    </row>
    <row r="355" spans="1:5" ht="14.25" customHeight="1">
      <c r="A355" s="1"/>
      <c r="B355" s="19"/>
      <c r="C355" s="4"/>
      <c r="D355" s="2"/>
      <c r="E355" s="4"/>
    </row>
    <row r="356" spans="1:5" ht="14.25" customHeight="1">
      <c r="A356" s="1"/>
      <c r="B356" s="19"/>
      <c r="C356" s="4"/>
      <c r="D356" s="2"/>
      <c r="E356" s="4"/>
    </row>
    <row r="357" spans="1:5" ht="14.25" customHeight="1">
      <c r="A357" s="1"/>
      <c r="B357" s="19"/>
      <c r="C357" s="4"/>
      <c r="D357" s="2"/>
      <c r="E357" s="4"/>
    </row>
    <row r="358" spans="1:5" ht="14.25" customHeight="1">
      <c r="A358" s="1"/>
      <c r="B358" s="19"/>
      <c r="C358" s="4"/>
      <c r="D358" s="2"/>
      <c r="E358" s="4"/>
    </row>
    <row r="359" spans="1:5" ht="14.25" customHeight="1">
      <c r="A359" s="1"/>
      <c r="B359" s="19"/>
      <c r="C359" s="4"/>
      <c r="D359" s="2"/>
      <c r="E359" s="4"/>
    </row>
    <row r="360" spans="1:5" ht="14.25" customHeight="1">
      <c r="A360" s="1"/>
      <c r="B360" s="19"/>
      <c r="C360" s="4"/>
      <c r="D360" s="2"/>
      <c r="E360" s="4"/>
    </row>
    <row r="361" spans="1:5" ht="14.25" customHeight="1">
      <c r="A361" s="1"/>
      <c r="B361" s="19"/>
      <c r="C361" s="4"/>
      <c r="D361" s="2"/>
      <c r="E361" s="4"/>
    </row>
    <row r="362" spans="1:5" ht="14.25" customHeight="1">
      <c r="A362" s="1"/>
      <c r="B362" s="19"/>
      <c r="C362" s="4"/>
      <c r="D362" s="2"/>
      <c r="E362" s="4"/>
    </row>
    <row r="363" spans="1:5" ht="14.25" customHeight="1">
      <c r="A363" s="1"/>
      <c r="B363" s="19"/>
      <c r="C363" s="4"/>
      <c r="D363" s="2"/>
      <c r="E363" s="4"/>
    </row>
    <row r="364" spans="1:5" ht="14.25" customHeight="1">
      <c r="A364" s="1"/>
      <c r="B364" s="19"/>
      <c r="C364" s="4"/>
      <c r="D364" s="2"/>
      <c r="E364" s="4"/>
    </row>
    <row r="365" spans="1:5" ht="14.25" customHeight="1">
      <c r="A365" s="1"/>
      <c r="B365" s="19"/>
      <c r="C365" s="4"/>
      <c r="D365" s="2"/>
      <c r="E365" s="4"/>
    </row>
    <row r="366" spans="1:5" ht="14.25" customHeight="1">
      <c r="A366" s="1"/>
      <c r="B366" s="19"/>
      <c r="C366" s="4"/>
      <c r="D366" s="2"/>
      <c r="E366" s="4"/>
    </row>
    <row r="367" spans="1:5" ht="14.25" customHeight="1">
      <c r="A367" s="1"/>
      <c r="B367" s="19"/>
      <c r="C367" s="4"/>
      <c r="D367" s="2"/>
      <c r="E367" s="4"/>
    </row>
    <row r="368" spans="1:5" ht="14.25" customHeight="1">
      <c r="A368" s="1"/>
      <c r="B368" s="19"/>
      <c r="C368" s="4"/>
      <c r="D368" s="2"/>
      <c r="E368" s="4"/>
    </row>
    <row r="369" spans="1:5" ht="14.25" customHeight="1">
      <c r="A369" s="1"/>
      <c r="B369" s="19"/>
      <c r="C369" s="4"/>
      <c r="D369" s="2"/>
      <c r="E369" s="4"/>
    </row>
    <row r="370" spans="1:5" ht="14.25" customHeight="1">
      <c r="A370" s="1"/>
      <c r="B370" s="19"/>
      <c r="C370" s="4"/>
      <c r="D370" s="2"/>
      <c r="E370" s="4"/>
    </row>
    <row r="371" spans="1:5" ht="14.25" customHeight="1">
      <c r="A371" s="1"/>
      <c r="B371" s="19"/>
      <c r="C371" s="4"/>
      <c r="D371" s="2"/>
      <c r="E371" s="4"/>
    </row>
    <row r="372" spans="1:5" ht="14.25" customHeight="1">
      <c r="A372" s="1"/>
      <c r="B372" s="19"/>
      <c r="C372" s="4"/>
      <c r="D372" s="2"/>
      <c r="E372" s="4"/>
    </row>
    <row r="373" spans="1:5" ht="14.25" customHeight="1">
      <c r="A373" s="1"/>
      <c r="B373" s="19"/>
      <c r="C373" s="4"/>
      <c r="D373" s="2"/>
      <c r="E373" s="4"/>
    </row>
    <row r="374" spans="1:5" ht="14.25" customHeight="1">
      <c r="A374" s="1"/>
      <c r="B374" s="19"/>
      <c r="C374" s="4"/>
      <c r="D374" s="2"/>
      <c r="E374" s="4"/>
    </row>
    <row r="375" spans="1:5" ht="14.25" customHeight="1">
      <c r="A375" s="1"/>
      <c r="B375" s="19"/>
      <c r="C375" s="4"/>
      <c r="D375" s="2"/>
      <c r="E375" s="4"/>
    </row>
    <row r="376" spans="1:5" ht="14.25" customHeight="1">
      <c r="A376" s="1"/>
      <c r="B376" s="19"/>
      <c r="C376" s="4"/>
      <c r="D376" s="2"/>
      <c r="E376" s="4"/>
    </row>
    <row r="377" spans="1:5" ht="14.25" customHeight="1">
      <c r="A377" s="1"/>
      <c r="B377" s="19"/>
      <c r="C377" s="4"/>
      <c r="D377" s="2"/>
      <c r="E377" s="4"/>
    </row>
    <row r="378" spans="1:5" ht="14.25" customHeight="1">
      <c r="A378" s="1"/>
      <c r="B378" s="19"/>
      <c r="C378" s="4"/>
      <c r="D378" s="2"/>
      <c r="E378" s="4"/>
    </row>
    <row r="379" spans="1:5" ht="14.25" customHeight="1">
      <c r="A379" s="1"/>
      <c r="B379" s="19"/>
      <c r="C379" s="4"/>
      <c r="D379" s="2"/>
      <c r="E379" s="4"/>
    </row>
    <row r="380" spans="1:5" ht="14.25" customHeight="1">
      <c r="A380" s="1"/>
      <c r="B380" s="19"/>
      <c r="C380" s="4"/>
      <c r="D380" s="2"/>
      <c r="E380" s="4"/>
    </row>
    <row r="381" spans="1:5" ht="14.25" customHeight="1">
      <c r="A381" s="1"/>
      <c r="B381" s="19"/>
      <c r="C381" s="4"/>
      <c r="D381" s="2"/>
      <c r="E381" s="4"/>
    </row>
    <row r="382" spans="1:5" ht="14.25" customHeight="1">
      <c r="A382" s="1"/>
      <c r="B382" s="19"/>
      <c r="C382" s="4"/>
      <c r="D382" s="2"/>
      <c r="E382" s="4"/>
    </row>
    <row r="383" spans="1:5" ht="14.25" customHeight="1">
      <c r="A383" s="1"/>
      <c r="B383" s="19"/>
      <c r="C383" s="4"/>
      <c r="D383" s="2"/>
      <c r="E383" s="4"/>
    </row>
    <row r="384" spans="1:5" ht="14.25" customHeight="1">
      <c r="A384" s="1"/>
      <c r="B384" s="19"/>
      <c r="C384" s="4"/>
      <c r="D384" s="2"/>
      <c r="E384" s="4"/>
    </row>
    <row r="385" spans="1:5" ht="14.25" customHeight="1">
      <c r="A385" s="1"/>
      <c r="B385" s="19"/>
      <c r="C385" s="4"/>
      <c r="D385" s="2"/>
      <c r="E385" s="4"/>
    </row>
    <row r="386" spans="1:5" ht="14.25" customHeight="1">
      <c r="A386" s="1"/>
      <c r="B386" s="19"/>
      <c r="C386" s="4"/>
      <c r="D386" s="2"/>
      <c r="E386" s="4"/>
    </row>
    <row r="387" spans="1:5" ht="14.25" customHeight="1">
      <c r="A387" s="1"/>
      <c r="B387" s="19"/>
      <c r="C387" s="4"/>
      <c r="D387" s="2"/>
      <c r="E387" s="4"/>
    </row>
    <row r="388" spans="1:5" ht="14.25" customHeight="1">
      <c r="A388" s="1"/>
      <c r="B388" s="19"/>
      <c r="C388" s="4"/>
      <c r="D388" s="2"/>
      <c r="E388" s="4"/>
    </row>
    <row r="389" spans="1:5" ht="14.25" customHeight="1">
      <c r="A389" s="1"/>
      <c r="B389" s="19"/>
      <c r="C389" s="4"/>
      <c r="D389" s="2"/>
      <c r="E389" s="4"/>
    </row>
    <row r="390" spans="1:5" ht="14.25" customHeight="1">
      <c r="A390" s="1"/>
      <c r="B390" s="19"/>
      <c r="C390" s="4"/>
      <c r="D390" s="2"/>
      <c r="E390" s="4"/>
    </row>
    <row r="391" spans="1:5" ht="14.25" customHeight="1">
      <c r="A391" s="1"/>
      <c r="B391" s="19"/>
      <c r="C391" s="4"/>
      <c r="D391" s="2"/>
      <c r="E391" s="4"/>
    </row>
    <row r="392" spans="1:5" ht="14.25" customHeight="1">
      <c r="A392" s="1"/>
      <c r="B392" s="19"/>
      <c r="C392" s="4"/>
      <c r="D392" s="2"/>
      <c r="E392" s="4"/>
    </row>
    <row r="393" spans="1:5" ht="14.25" customHeight="1">
      <c r="A393" s="1"/>
      <c r="B393" s="19"/>
      <c r="C393" s="4"/>
      <c r="D393" s="2"/>
      <c r="E393" s="4"/>
    </row>
    <row r="394" spans="1:5" ht="14.25" customHeight="1">
      <c r="A394" s="1"/>
      <c r="B394" s="19"/>
      <c r="C394" s="4"/>
      <c r="D394" s="2"/>
      <c r="E394" s="4"/>
    </row>
    <row r="395" spans="1:5" ht="14.25" customHeight="1">
      <c r="A395" s="1"/>
      <c r="B395" s="19"/>
      <c r="C395" s="4"/>
      <c r="D395" s="2"/>
      <c r="E395" s="4"/>
    </row>
    <row r="396" spans="1:5" ht="14.25" customHeight="1">
      <c r="A396" s="1"/>
      <c r="B396" s="19"/>
      <c r="C396" s="4"/>
      <c r="D396" s="2"/>
      <c r="E396" s="4"/>
    </row>
    <row r="397" spans="1:5" ht="14.25" customHeight="1">
      <c r="A397" s="1"/>
      <c r="B397" s="19"/>
      <c r="C397" s="4"/>
      <c r="D397" s="2"/>
      <c r="E397" s="4"/>
    </row>
    <row r="398" spans="1:5" ht="14.25" customHeight="1">
      <c r="A398" s="1"/>
      <c r="B398" s="19"/>
      <c r="C398" s="4"/>
      <c r="D398" s="2"/>
      <c r="E398" s="4"/>
    </row>
    <row r="399" spans="1:5" ht="14.25" customHeight="1">
      <c r="A399" s="1"/>
      <c r="B399" s="19"/>
      <c r="C399" s="4"/>
      <c r="D399" s="2"/>
      <c r="E399" s="4"/>
    </row>
    <row r="400" spans="1:5" ht="14.25" customHeight="1">
      <c r="A400" s="1"/>
      <c r="B400" s="19"/>
      <c r="C400" s="4"/>
      <c r="D400" s="2"/>
      <c r="E400" s="4"/>
    </row>
    <row r="401" spans="1:5" ht="14.25" customHeight="1">
      <c r="A401" s="1"/>
      <c r="B401" s="19"/>
      <c r="C401" s="4"/>
      <c r="D401" s="2"/>
      <c r="E401" s="4"/>
    </row>
    <row r="402" spans="1:5" ht="14.25" customHeight="1">
      <c r="A402" s="1"/>
      <c r="B402" s="19"/>
      <c r="C402" s="4"/>
      <c r="D402" s="2"/>
      <c r="E402" s="4"/>
    </row>
    <row r="403" spans="1:5" ht="14.25" customHeight="1">
      <c r="A403" s="1"/>
      <c r="B403" s="19"/>
      <c r="C403" s="4"/>
      <c r="D403" s="2"/>
      <c r="E403" s="4"/>
    </row>
    <row r="404" spans="1:5" ht="14.25" customHeight="1">
      <c r="A404" s="1"/>
      <c r="B404" s="19"/>
      <c r="C404" s="4"/>
      <c r="D404" s="2"/>
      <c r="E404" s="4"/>
    </row>
    <row r="405" spans="1:5" ht="14.25" customHeight="1">
      <c r="A405" s="1"/>
      <c r="B405" s="19"/>
      <c r="C405" s="4"/>
      <c r="D405" s="2"/>
      <c r="E405" s="4"/>
    </row>
    <row r="406" spans="1:5" ht="14.25" customHeight="1">
      <c r="A406" s="1"/>
      <c r="B406" s="19"/>
      <c r="C406" s="4"/>
      <c r="D406" s="2"/>
      <c r="E406" s="4"/>
    </row>
    <row r="407" spans="1:5" ht="14.25" customHeight="1">
      <c r="A407" s="1"/>
      <c r="B407" s="19"/>
      <c r="C407" s="4"/>
      <c r="D407" s="2"/>
      <c r="E407" s="4"/>
    </row>
    <row r="408" spans="1:5" ht="14.25" customHeight="1">
      <c r="A408" s="1"/>
      <c r="B408" s="19"/>
      <c r="C408" s="4"/>
      <c r="D408" s="2"/>
      <c r="E408" s="4"/>
    </row>
    <row r="409" spans="1:5" ht="14.25" customHeight="1">
      <c r="A409" s="1"/>
      <c r="B409" s="19"/>
      <c r="C409" s="4"/>
      <c r="D409" s="2"/>
      <c r="E409" s="4"/>
    </row>
    <row r="410" spans="1:5" ht="14.25" customHeight="1">
      <c r="A410" s="1"/>
      <c r="B410" s="19"/>
      <c r="C410" s="4"/>
      <c r="D410" s="2"/>
      <c r="E410" s="4"/>
    </row>
    <row r="411" spans="1:5" ht="14.25" customHeight="1">
      <c r="A411" s="1"/>
      <c r="B411" s="19"/>
      <c r="C411" s="4"/>
      <c r="D411" s="2"/>
      <c r="E411" s="4"/>
    </row>
    <row r="412" spans="1:5" ht="14.25" customHeight="1">
      <c r="A412" s="1"/>
      <c r="B412" s="19"/>
      <c r="C412" s="4"/>
      <c r="D412" s="2"/>
      <c r="E412" s="4"/>
    </row>
    <row r="413" spans="1:5" ht="14.25" customHeight="1">
      <c r="A413" s="1"/>
      <c r="B413" s="19"/>
      <c r="C413" s="4"/>
      <c r="D413" s="2"/>
      <c r="E413" s="4"/>
    </row>
    <row r="414" spans="1:5" ht="14.25" customHeight="1">
      <c r="A414" s="1"/>
      <c r="B414" s="19"/>
      <c r="C414" s="4"/>
      <c r="D414" s="2"/>
      <c r="E414" s="4"/>
    </row>
    <row r="415" spans="1:5" ht="14.25" customHeight="1">
      <c r="A415" s="1"/>
      <c r="B415" s="19"/>
      <c r="C415" s="4"/>
      <c r="D415" s="2"/>
      <c r="E415" s="4"/>
    </row>
    <row r="416" spans="1:5" ht="14.25" customHeight="1">
      <c r="A416" s="1"/>
      <c r="B416" s="19"/>
      <c r="C416" s="4"/>
      <c r="D416" s="2"/>
      <c r="E416" s="4"/>
    </row>
    <row r="417" spans="1:5" ht="14.25" customHeight="1">
      <c r="A417" s="1"/>
      <c r="B417" s="19"/>
      <c r="C417" s="4"/>
      <c r="D417" s="2"/>
      <c r="E417" s="4"/>
    </row>
    <row r="418" spans="1:5" ht="14.25" customHeight="1">
      <c r="A418" s="1"/>
      <c r="B418" s="19"/>
      <c r="C418" s="4"/>
      <c r="D418" s="2"/>
      <c r="E418" s="4"/>
    </row>
    <row r="419" spans="1:5" ht="14.25" customHeight="1">
      <c r="A419" s="1"/>
      <c r="B419" s="19"/>
      <c r="C419" s="4"/>
      <c r="D419" s="2"/>
      <c r="E419" s="4"/>
    </row>
    <row r="420" spans="1:5" ht="14.25" customHeight="1">
      <c r="A420" s="1"/>
      <c r="B420" s="19"/>
      <c r="C420" s="4"/>
      <c r="D420" s="2"/>
      <c r="E420" s="4"/>
    </row>
    <row r="421" spans="1:5" ht="14.25" customHeight="1">
      <c r="A421" s="1"/>
      <c r="B421" s="19"/>
      <c r="C421" s="4"/>
      <c r="D421" s="2"/>
      <c r="E421" s="4"/>
    </row>
    <row r="422" spans="1:5" ht="14.25" customHeight="1">
      <c r="A422" s="1"/>
      <c r="B422" s="19"/>
      <c r="C422" s="4"/>
      <c r="D422" s="2"/>
      <c r="E422" s="4"/>
    </row>
    <row r="423" spans="1:5" ht="14.25" customHeight="1">
      <c r="A423" s="1"/>
      <c r="B423" s="19"/>
      <c r="C423" s="4"/>
      <c r="D423" s="2"/>
      <c r="E423" s="4"/>
    </row>
    <row r="424" spans="1:5" ht="14.25" customHeight="1">
      <c r="A424" s="1"/>
      <c r="B424" s="19"/>
      <c r="C424" s="4"/>
      <c r="D424" s="2"/>
      <c r="E424" s="4"/>
    </row>
    <row r="425" spans="1:5" ht="14.25" customHeight="1">
      <c r="A425" s="1"/>
      <c r="B425" s="19"/>
      <c r="C425" s="4"/>
      <c r="D425" s="2"/>
      <c r="E425" s="4"/>
    </row>
    <row r="426" spans="1:5" ht="14.25" customHeight="1">
      <c r="A426" s="1"/>
      <c r="B426" s="19"/>
      <c r="C426" s="4"/>
      <c r="D426" s="2"/>
      <c r="E426" s="4"/>
    </row>
    <row r="427" spans="1:5" ht="14.25" customHeight="1">
      <c r="A427" s="1"/>
      <c r="B427" s="19"/>
      <c r="C427" s="4"/>
      <c r="D427" s="2"/>
      <c r="E427" s="4"/>
    </row>
    <row r="428" spans="1:5" ht="14.25" customHeight="1">
      <c r="A428" s="1"/>
      <c r="B428" s="19"/>
      <c r="C428" s="4"/>
      <c r="D428" s="2"/>
      <c r="E428" s="4"/>
    </row>
    <row r="429" spans="1:5" ht="14.25" customHeight="1">
      <c r="A429" s="1"/>
      <c r="B429" s="19"/>
      <c r="C429" s="4"/>
      <c r="D429" s="2"/>
      <c r="E429" s="4"/>
    </row>
    <row r="430" spans="1:5" ht="14.25" customHeight="1">
      <c r="A430" s="1"/>
      <c r="B430" s="19"/>
      <c r="C430" s="4"/>
      <c r="D430" s="2"/>
      <c r="E430" s="4"/>
    </row>
    <row r="431" spans="1:5" ht="14.25" customHeight="1">
      <c r="A431" s="1"/>
      <c r="B431" s="19"/>
      <c r="C431" s="4"/>
      <c r="D431" s="2"/>
      <c r="E431" s="4"/>
    </row>
    <row r="432" spans="1:5" ht="14.25" customHeight="1">
      <c r="A432" s="1"/>
      <c r="B432" s="19"/>
      <c r="C432" s="4"/>
      <c r="D432" s="2"/>
      <c r="E432" s="4"/>
    </row>
    <row r="433" spans="1:5" ht="14.25" customHeight="1">
      <c r="A433" s="1"/>
      <c r="B433" s="19"/>
      <c r="C433" s="4"/>
      <c r="D433" s="2"/>
      <c r="E433" s="4"/>
    </row>
    <row r="434" spans="1:5" ht="14.25" customHeight="1">
      <c r="A434" s="1"/>
      <c r="B434" s="19"/>
      <c r="C434" s="4"/>
      <c r="D434" s="2"/>
      <c r="E434" s="4"/>
    </row>
    <row r="435" spans="1:5" ht="14.25" customHeight="1">
      <c r="A435" s="1"/>
      <c r="B435" s="19"/>
      <c r="C435" s="4"/>
      <c r="D435" s="2"/>
      <c r="E435" s="4"/>
    </row>
    <row r="436" spans="1:5" ht="14.25" customHeight="1">
      <c r="A436" s="1"/>
      <c r="B436" s="19"/>
      <c r="C436" s="4"/>
      <c r="D436" s="2"/>
      <c r="E436" s="4"/>
    </row>
    <row r="437" spans="1:5" ht="14.25" customHeight="1">
      <c r="A437" s="1"/>
      <c r="B437" s="19"/>
      <c r="C437" s="4"/>
      <c r="D437" s="2"/>
      <c r="E437" s="4"/>
    </row>
    <row r="438" spans="1:5" ht="14.25" customHeight="1">
      <c r="A438" s="1"/>
      <c r="B438" s="19"/>
      <c r="C438" s="4"/>
      <c r="D438" s="2"/>
      <c r="E438" s="4"/>
    </row>
    <row r="439" spans="1:5" ht="14.25" customHeight="1">
      <c r="A439" s="1"/>
      <c r="B439" s="19"/>
      <c r="C439" s="4"/>
      <c r="D439" s="2"/>
      <c r="E439" s="4"/>
    </row>
    <row r="440" spans="1:5" ht="14.25" customHeight="1">
      <c r="A440" s="1"/>
      <c r="B440" s="19"/>
      <c r="C440" s="4"/>
      <c r="D440" s="2"/>
      <c r="E440" s="4"/>
    </row>
    <row r="441" spans="1:5" ht="14.25" customHeight="1">
      <c r="A441" s="1"/>
      <c r="B441" s="19"/>
      <c r="C441" s="4"/>
      <c r="D441" s="2"/>
      <c r="E441" s="4"/>
    </row>
    <row r="442" spans="1:5" ht="14.25" customHeight="1">
      <c r="A442" s="1"/>
      <c r="B442" s="19"/>
      <c r="C442" s="4"/>
      <c r="D442" s="2"/>
      <c r="E442" s="4"/>
    </row>
    <row r="443" spans="1:5" ht="14.25" customHeight="1">
      <c r="A443" s="1"/>
      <c r="B443" s="19"/>
      <c r="C443" s="4"/>
      <c r="D443" s="2"/>
      <c r="E443" s="4"/>
    </row>
    <row r="444" spans="1:5" ht="14.25" customHeight="1">
      <c r="A444" s="1"/>
      <c r="B444" s="19"/>
      <c r="C444" s="4"/>
      <c r="D444" s="2"/>
      <c r="E444" s="4"/>
    </row>
    <row r="445" spans="1:5" ht="14.25" customHeight="1">
      <c r="A445" s="1"/>
      <c r="B445" s="19"/>
      <c r="C445" s="4"/>
      <c r="D445" s="2"/>
      <c r="E445" s="4"/>
    </row>
    <row r="446" spans="1:5" ht="14.25" customHeight="1">
      <c r="A446" s="1"/>
      <c r="B446" s="19"/>
      <c r="C446" s="4"/>
      <c r="D446" s="2"/>
      <c r="E446" s="4"/>
    </row>
    <row r="447" spans="1:5" ht="14.25" customHeight="1">
      <c r="A447" s="1"/>
      <c r="B447" s="19"/>
      <c r="C447" s="4"/>
      <c r="D447" s="2"/>
      <c r="E447" s="4"/>
    </row>
    <row r="448" spans="1:5" ht="14.25" customHeight="1">
      <c r="A448" s="1"/>
      <c r="B448" s="19"/>
      <c r="C448" s="4"/>
      <c r="D448" s="2"/>
      <c r="E448" s="4"/>
    </row>
    <row r="449" spans="1:5" ht="14.25" customHeight="1">
      <c r="A449" s="1"/>
      <c r="B449" s="19"/>
      <c r="C449" s="4"/>
      <c r="D449" s="2"/>
      <c r="E449" s="4"/>
    </row>
    <row r="450" spans="1:5" ht="14.25" customHeight="1">
      <c r="A450" s="1"/>
      <c r="B450" s="19"/>
      <c r="C450" s="4"/>
      <c r="D450" s="2"/>
      <c r="E450" s="4"/>
    </row>
    <row r="451" spans="1:5" ht="14.25" customHeight="1">
      <c r="A451" s="1"/>
      <c r="B451" s="19"/>
      <c r="C451" s="4"/>
      <c r="D451" s="2"/>
      <c r="E451" s="4"/>
    </row>
    <row r="452" spans="1:5" ht="14.25" customHeight="1">
      <c r="A452" s="1"/>
      <c r="B452" s="19"/>
      <c r="C452" s="4"/>
      <c r="D452" s="2"/>
      <c r="E452" s="4"/>
    </row>
    <row r="453" spans="1:5" ht="14.25" customHeight="1">
      <c r="A453" s="1"/>
      <c r="B453" s="19"/>
      <c r="C453" s="4"/>
      <c r="D453" s="2"/>
      <c r="E453" s="4"/>
    </row>
    <row r="454" spans="1:5" ht="14.25" customHeight="1">
      <c r="A454" s="1"/>
      <c r="B454" s="19"/>
      <c r="C454" s="4"/>
      <c r="D454" s="2"/>
      <c r="E454" s="4"/>
    </row>
    <row r="455" spans="1:5" ht="14.25" customHeight="1">
      <c r="A455" s="1"/>
      <c r="B455" s="19"/>
      <c r="C455" s="4"/>
      <c r="D455" s="2"/>
      <c r="E455" s="4"/>
    </row>
    <row r="456" spans="1:5" ht="14.25" customHeight="1">
      <c r="A456" s="1"/>
      <c r="B456" s="19"/>
      <c r="C456" s="4"/>
      <c r="D456" s="2"/>
      <c r="E456" s="4"/>
    </row>
    <row r="457" spans="1:5" ht="14.25" customHeight="1">
      <c r="A457" s="1"/>
      <c r="B457" s="19"/>
      <c r="C457" s="4"/>
      <c r="D457" s="2"/>
      <c r="E457" s="4"/>
    </row>
    <row r="458" spans="1:5" ht="14.25" customHeight="1">
      <c r="A458" s="1"/>
      <c r="B458" s="19"/>
      <c r="C458" s="4"/>
      <c r="D458" s="2"/>
      <c r="E458" s="4"/>
    </row>
    <row r="459" spans="1:5" ht="14.25" customHeight="1">
      <c r="A459" s="1"/>
      <c r="B459" s="19"/>
      <c r="C459" s="4"/>
      <c r="D459" s="2"/>
      <c r="E459" s="4"/>
    </row>
    <row r="460" spans="1:5" ht="14.25" customHeight="1">
      <c r="A460" s="1"/>
      <c r="B460" s="19"/>
      <c r="C460" s="4"/>
      <c r="D460" s="2"/>
      <c r="E460" s="4"/>
    </row>
    <row r="461" spans="1:5" ht="14.25" customHeight="1">
      <c r="A461" s="1"/>
      <c r="B461" s="19"/>
      <c r="C461" s="4"/>
      <c r="D461" s="2"/>
      <c r="E461" s="4"/>
    </row>
    <row r="462" spans="1:5" ht="14.25" customHeight="1">
      <c r="A462" s="1"/>
      <c r="B462" s="19"/>
      <c r="C462" s="4"/>
      <c r="D462" s="2"/>
      <c r="E462" s="4"/>
    </row>
    <row r="463" spans="1:5" ht="14.25" customHeight="1">
      <c r="A463" s="1"/>
      <c r="B463" s="19"/>
      <c r="C463" s="4"/>
      <c r="D463" s="2"/>
      <c r="E463" s="4"/>
    </row>
    <row r="464" spans="1:5" ht="14.25" customHeight="1">
      <c r="A464" s="1"/>
      <c r="B464" s="19"/>
      <c r="C464" s="4"/>
      <c r="D464" s="2"/>
      <c r="E464" s="4"/>
    </row>
    <row r="465" spans="1:5" ht="14.25" customHeight="1">
      <c r="A465" s="1"/>
      <c r="B465" s="19"/>
      <c r="C465" s="4"/>
      <c r="D465" s="2"/>
      <c r="E465" s="4"/>
    </row>
    <row r="466" spans="1:5" ht="14.25" customHeight="1">
      <c r="A466" s="1"/>
      <c r="B466" s="19"/>
      <c r="C466" s="4"/>
      <c r="D466" s="2"/>
      <c r="E466" s="4"/>
    </row>
    <row r="467" spans="1:5" ht="14.25" customHeight="1">
      <c r="A467" s="1"/>
      <c r="B467" s="19"/>
      <c r="C467" s="4"/>
      <c r="D467" s="2"/>
      <c r="E467" s="4"/>
    </row>
    <row r="468" spans="1:5" ht="14.25" customHeight="1">
      <c r="A468" s="1"/>
      <c r="B468" s="19"/>
      <c r="C468" s="4"/>
      <c r="D468" s="2"/>
      <c r="E468" s="4"/>
    </row>
    <row r="469" spans="1:5" ht="14.25" customHeight="1">
      <c r="A469" s="1"/>
      <c r="B469" s="19"/>
      <c r="C469" s="4"/>
      <c r="D469" s="2"/>
      <c r="E469" s="4"/>
    </row>
    <row r="470" spans="1:5" ht="14.25" customHeight="1">
      <c r="A470" s="1"/>
      <c r="B470" s="19"/>
      <c r="C470" s="4"/>
      <c r="D470" s="2"/>
      <c r="E470" s="4"/>
    </row>
    <row r="471" spans="1:5" ht="14.25" customHeight="1">
      <c r="A471" s="1"/>
      <c r="B471" s="19"/>
      <c r="C471" s="4"/>
      <c r="D471" s="2"/>
      <c r="E471" s="4"/>
    </row>
    <row r="472" spans="1:5" ht="14.25" customHeight="1">
      <c r="A472" s="1"/>
      <c r="B472" s="19"/>
      <c r="C472" s="4"/>
      <c r="D472" s="2"/>
      <c r="E472" s="4"/>
    </row>
    <row r="473" spans="1:5" ht="14.25" customHeight="1">
      <c r="A473" s="1"/>
      <c r="B473" s="19"/>
      <c r="C473" s="4"/>
      <c r="D473" s="2"/>
      <c r="E473" s="4"/>
    </row>
    <row r="474" spans="1:5" ht="14.25" customHeight="1">
      <c r="A474" s="1"/>
      <c r="B474" s="19"/>
      <c r="C474" s="4"/>
      <c r="D474" s="2"/>
      <c r="E474" s="4"/>
    </row>
    <row r="475" spans="1:5" ht="14.25" customHeight="1">
      <c r="A475" s="1"/>
      <c r="B475" s="19"/>
      <c r="C475" s="4"/>
      <c r="D475" s="2"/>
      <c r="E475" s="4"/>
    </row>
    <row r="476" spans="1:5" ht="14.25" customHeight="1">
      <c r="A476" s="1"/>
      <c r="B476" s="19"/>
      <c r="C476" s="4"/>
      <c r="D476" s="2"/>
      <c r="E476" s="4"/>
    </row>
    <row r="477" spans="1:5" ht="14.25" customHeight="1">
      <c r="A477" s="1"/>
      <c r="B477" s="19"/>
      <c r="C477" s="4"/>
      <c r="D477" s="2"/>
      <c r="E477" s="4"/>
    </row>
    <row r="478" spans="1:5" ht="14.25" customHeight="1">
      <c r="A478" s="1"/>
      <c r="B478" s="19"/>
      <c r="C478" s="4"/>
      <c r="D478" s="2"/>
      <c r="E478" s="4"/>
    </row>
    <row r="479" spans="1:5" ht="14.25" customHeight="1">
      <c r="A479" s="1"/>
      <c r="B479" s="19"/>
      <c r="C479" s="4"/>
      <c r="D479" s="2"/>
      <c r="E479" s="4"/>
    </row>
    <row r="480" spans="1:5" ht="14.25" customHeight="1">
      <c r="A480" s="1"/>
      <c r="B480" s="19"/>
      <c r="C480" s="4"/>
      <c r="D480" s="2"/>
      <c r="E480" s="4"/>
    </row>
    <row r="481" spans="1:5" ht="14.25" customHeight="1">
      <c r="A481" s="1"/>
      <c r="B481" s="19"/>
      <c r="C481" s="4"/>
      <c r="D481" s="2"/>
      <c r="E481" s="4"/>
    </row>
    <row r="482" spans="1:5" ht="14.25" customHeight="1">
      <c r="A482" s="1"/>
      <c r="B482" s="19"/>
      <c r="C482" s="4"/>
      <c r="D482" s="2"/>
      <c r="E482" s="4"/>
    </row>
    <row r="483" spans="1:5" ht="14.25" customHeight="1">
      <c r="A483" s="1"/>
      <c r="B483" s="19"/>
      <c r="C483" s="4"/>
      <c r="D483" s="2"/>
      <c r="E483" s="4"/>
    </row>
    <row r="484" spans="1:5" ht="14.25" customHeight="1">
      <c r="A484" s="1"/>
      <c r="B484" s="19"/>
      <c r="C484" s="4"/>
      <c r="D484" s="2"/>
      <c r="E484" s="4"/>
    </row>
    <row r="485" spans="1:5" ht="14.25" customHeight="1">
      <c r="A485" s="1"/>
      <c r="B485" s="19"/>
      <c r="C485" s="4"/>
      <c r="D485" s="2"/>
      <c r="E485" s="4"/>
    </row>
    <row r="486" spans="1:5" ht="14.25" customHeight="1">
      <c r="A486" s="1"/>
      <c r="B486" s="19"/>
      <c r="C486" s="4"/>
      <c r="D486" s="2"/>
      <c r="E486" s="4"/>
    </row>
    <row r="487" spans="1:5" ht="14.25" customHeight="1">
      <c r="A487" s="1"/>
      <c r="B487" s="19"/>
      <c r="C487" s="4"/>
      <c r="D487" s="2"/>
      <c r="E487" s="4"/>
    </row>
    <row r="488" spans="1:5" ht="14.25" customHeight="1">
      <c r="A488" s="1"/>
      <c r="B488" s="19"/>
      <c r="C488" s="4"/>
      <c r="D488" s="2"/>
      <c r="E488" s="4"/>
    </row>
    <row r="489" spans="1:5" ht="14.25" customHeight="1">
      <c r="A489" s="1"/>
      <c r="B489" s="19"/>
      <c r="C489" s="4"/>
      <c r="D489" s="2"/>
      <c r="E489" s="4"/>
    </row>
    <row r="490" spans="1:5" ht="14.25" customHeight="1">
      <c r="A490" s="1"/>
      <c r="B490" s="19"/>
      <c r="C490" s="4"/>
      <c r="D490" s="2"/>
      <c r="E490" s="4"/>
    </row>
    <row r="491" spans="1:5" ht="14.25" customHeight="1">
      <c r="A491" s="1"/>
      <c r="B491" s="19"/>
      <c r="C491" s="4"/>
      <c r="D491" s="2"/>
      <c r="E491" s="4"/>
    </row>
    <row r="492" spans="1:5" ht="14.25" customHeight="1">
      <c r="A492" s="1"/>
      <c r="B492" s="19"/>
      <c r="C492" s="4"/>
      <c r="D492" s="2"/>
      <c r="E492" s="4"/>
    </row>
    <row r="493" spans="1:5" ht="14.25" customHeight="1">
      <c r="A493" s="1"/>
      <c r="B493" s="19"/>
      <c r="C493" s="4"/>
      <c r="D493" s="2"/>
      <c r="E493" s="4"/>
    </row>
    <row r="494" spans="1:5" ht="14.25" customHeight="1">
      <c r="A494" s="1"/>
      <c r="B494" s="19"/>
      <c r="C494" s="4"/>
      <c r="D494" s="2"/>
      <c r="E494" s="4"/>
    </row>
    <row r="495" spans="1:5" ht="14.25" customHeight="1">
      <c r="A495" s="1"/>
      <c r="B495" s="19"/>
      <c r="C495" s="4"/>
      <c r="D495" s="2"/>
      <c r="E495" s="4"/>
    </row>
    <row r="496" spans="1:5" ht="14.25" customHeight="1">
      <c r="A496" s="1"/>
      <c r="B496" s="19"/>
      <c r="C496" s="4"/>
      <c r="D496" s="2"/>
      <c r="E496" s="4"/>
    </row>
    <row r="497" spans="1:5" ht="14.25" customHeight="1">
      <c r="A497" s="1"/>
      <c r="B497" s="19"/>
      <c r="C497" s="4"/>
      <c r="D497" s="2"/>
      <c r="E497" s="4"/>
    </row>
    <row r="498" spans="1:5" ht="14.25" customHeight="1">
      <c r="A498" s="1"/>
      <c r="B498" s="19"/>
      <c r="C498" s="4"/>
      <c r="D498" s="2"/>
      <c r="E498" s="4"/>
    </row>
    <row r="499" spans="1:5" ht="14.25" customHeight="1">
      <c r="A499" s="1"/>
      <c r="B499" s="19"/>
      <c r="C499" s="4"/>
      <c r="D499" s="2"/>
      <c r="E499" s="4"/>
    </row>
    <row r="500" spans="1:5" ht="14.25" customHeight="1">
      <c r="A500" s="1"/>
      <c r="B500" s="19"/>
      <c r="C500" s="4"/>
      <c r="D500" s="2"/>
      <c r="E500" s="4"/>
    </row>
    <row r="501" spans="1:5" ht="14.25" customHeight="1">
      <c r="A501" s="1"/>
      <c r="B501" s="19"/>
      <c r="C501" s="4"/>
      <c r="D501" s="2"/>
      <c r="E501" s="4"/>
    </row>
    <row r="502" spans="1:5" ht="14.25" customHeight="1">
      <c r="A502" s="1"/>
      <c r="B502" s="19"/>
      <c r="C502" s="4"/>
      <c r="D502" s="2"/>
      <c r="E502" s="4"/>
    </row>
    <row r="503" spans="1:5" ht="14.25" customHeight="1">
      <c r="A503" s="1"/>
      <c r="B503" s="19"/>
      <c r="C503" s="4"/>
      <c r="D503" s="2"/>
      <c r="E503" s="4"/>
    </row>
    <row r="504" spans="1:5" ht="14.25" customHeight="1">
      <c r="A504" s="1"/>
      <c r="B504" s="19"/>
      <c r="C504" s="4"/>
      <c r="D504" s="2"/>
      <c r="E504" s="4"/>
    </row>
    <row r="505" spans="1:5" ht="14.25" customHeight="1">
      <c r="A505" s="1"/>
      <c r="B505" s="19"/>
      <c r="C505" s="4"/>
      <c r="D505" s="2"/>
      <c r="E505" s="4"/>
    </row>
    <row r="506" spans="1:5" ht="14.25" customHeight="1">
      <c r="A506" s="1"/>
      <c r="B506" s="19"/>
      <c r="C506" s="4"/>
      <c r="D506" s="2"/>
      <c r="E506" s="4"/>
    </row>
    <row r="507" spans="1:5" ht="14.25" customHeight="1">
      <c r="A507" s="1"/>
      <c r="B507" s="19"/>
      <c r="C507" s="4"/>
      <c r="D507" s="2"/>
      <c r="E507" s="4"/>
    </row>
    <row r="508" spans="1:5" ht="14.25" customHeight="1">
      <c r="A508" s="1"/>
      <c r="B508" s="19"/>
      <c r="C508" s="4"/>
      <c r="D508" s="2"/>
      <c r="E508" s="4"/>
    </row>
    <row r="509" spans="1:5" ht="14.25" customHeight="1">
      <c r="A509" s="1"/>
      <c r="B509" s="19"/>
      <c r="C509" s="4"/>
      <c r="D509" s="2"/>
      <c r="E509" s="4"/>
    </row>
    <row r="510" spans="1:5" ht="14.25" customHeight="1">
      <c r="A510" s="1"/>
      <c r="B510" s="19"/>
      <c r="C510" s="4"/>
      <c r="D510" s="2"/>
      <c r="E510" s="4"/>
    </row>
    <row r="511" spans="1:5" ht="14.25" customHeight="1">
      <c r="A511" s="1"/>
      <c r="B511" s="19"/>
      <c r="C511" s="4"/>
      <c r="D511" s="2"/>
      <c r="E511" s="4"/>
    </row>
    <row r="512" spans="1:5" ht="14.25" customHeight="1">
      <c r="A512" s="1"/>
      <c r="B512" s="19"/>
      <c r="C512" s="4"/>
      <c r="D512" s="2"/>
      <c r="E512" s="4"/>
    </row>
    <row r="513" spans="1:5" ht="14.25" customHeight="1">
      <c r="A513" s="1"/>
      <c r="B513" s="19"/>
      <c r="C513" s="4"/>
      <c r="D513" s="2"/>
      <c r="E513" s="4"/>
    </row>
    <row r="514" spans="1:5" ht="14.25" customHeight="1">
      <c r="A514" s="1"/>
      <c r="B514" s="19"/>
      <c r="C514" s="4"/>
      <c r="D514" s="2"/>
      <c r="E514" s="4"/>
    </row>
    <row r="515" spans="1:5" ht="14.25" customHeight="1">
      <c r="A515" s="1"/>
      <c r="B515" s="19"/>
      <c r="C515" s="4"/>
      <c r="D515" s="2"/>
      <c r="E515" s="4"/>
    </row>
    <row r="516" spans="1:5" ht="14.25" customHeight="1">
      <c r="A516" s="1"/>
      <c r="B516" s="19"/>
      <c r="C516" s="4"/>
      <c r="D516" s="2"/>
      <c r="E516" s="4"/>
    </row>
    <row r="517" spans="1:5" ht="14.25" customHeight="1">
      <c r="A517" s="1"/>
      <c r="B517" s="19"/>
      <c r="C517" s="4"/>
      <c r="D517" s="2"/>
      <c r="E517" s="4"/>
    </row>
    <row r="518" spans="1:5" ht="14.25" customHeight="1">
      <c r="A518" s="1"/>
      <c r="B518" s="19"/>
      <c r="C518" s="4"/>
      <c r="D518" s="2"/>
      <c r="E518" s="4"/>
    </row>
    <row r="519" spans="1:5" ht="14.25" customHeight="1">
      <c r="A519" s="1"/>
      <c r="B519" s="19"/>
      <c r="C519" s="4"/>
      <c r="D519" s="2"/>
      <c r="E519" s="4"/>
    </row>
    <row r="520" spans="1:5" ht="14.25" customHeight="1">
      <c r="A520" s="1"/>
      <c r="B520" s="19"/>
      <c r="C520" s="4"/>
      <c r="D520" s="2"/>
      <c r="E520" s="4"/>
    </row>
    <row r="521" spans="1:5" ht="14.25" customHeight="1">
      <c r="A521" s="1"/>
      <c r="B521" s="19"/>
      <c r="C521" s="4"/>
      <c r="D521" s="2"/>
      <c r="E521" s="4"/>
    </row>
    <row r="522" spans="1:5" ht="14.25" customHeight="1">
      <c r="A522" s="1"/>
      <c r="B522" s="19"/>
      <c r="C522" s="4"/>
      <c r="D522" s="2"/>
      <c r="E522" s="4"/>
    </row>
    <row r="523" spans="1:5" ht="14.25" customHeight="1">
      <c r="A523" s="1"/>
      <c r="B523" s="19"/>
      <c r="C523" s="4"/>
      <c r="D523" s="2"/>
      <c r="E523" s="4"/>
    </row>
    <row r="524" spans="1:5" ht="14.25" customHeight="1">
      <c r="A524" s="1"/>
      <c r="B524" s="19"/>
      <c r="C524" s="4"/>
      <c r="D524" s="2"/>
      <c r="E524" s="4"/>
    </row>
    <row r="525" spans="1:5" ht="14.25" customHeight="1">
      <c r="A525" s="1"/>
      <c r="B525" s="19"/>
      <c r="C525" s="4"/>
      <c r="D525" s="2"/>
      <c r="E525" s="4"/>
    </row>
    <row r="526" spans="1:5" ht="14.25" customHeight="1">
      <c r="A526" s="1"/>
      <c r="B526" s="19"/>
      <c r="C526" s="4"/>
      <c r="D526" s="2"/>
      <c r="E526" s="4"/>
    </row>
    <row r="527" spans="1:5" ht="14.25" customHeight="1">
      <c r="A527" s="1"/>
      <c r="B527" s="19"/>
      <c r="C527" s="4"/>
      <c r="D527" s="2"/>
      <c r="E527" s="4"/>
    </row>
    <row r="528" spans="1:5" ht="14.25" customHeight="1">
      <c r="A528" s="1"/>
      <c r="B528" s="19"/>
      <c r="C528" s="4"/>
      <c r="D528" s="2"/>
      <c r="E528" s="4"/>
    </row>
    <row r="529" spans="1:5" ht="14.25" customHeight="1">
      <c r="A529" s="1"/>
      <c r="B529" s="19"/>
      <c r="C529" s="4"/>
      <c r="D529" s="2"/>
      <c r="E529" s="4"/>
    </row>
    <row r="530" spans="1:5" ht="14.25" customHeight="1">
      <c r="A530" s="1"/>
      <c r="B530" s="19"/>
      <c r="C530" s="4"/>
      <c r="D530" s="2"/>
      <c r="E530" s="4"/>
    </row>
    <row r="531" spans="1:5" ht="14.25" customHeight="1">
      <c r="A531" s="1"/>
      <c r="B531" s="19"/>
      <c r="C531" s="4"/>
      <c r="D531" s="2"/>
      <c r="E531" s="4"/>
    </row>
    <row r="532" spans="1:5" ht="14.25" customHeight="1">
      <c r="A532" s="1"/>
      <c r="B532" s="19"/>
      <c r="C532" s="4"/>
      <c r="D532" s="2"/>
      <c r="E532" s="4"/>
    </row>
    <row r="533" spans="1:5" ht="14.25" customHeight="1">
      <c r="A533" s="1"/>
      <c r="B533" s="19"/>
      <c r="C533" s="4"/>
      <c r="D533" s="2"/>
      <c r="E533" s="4"/>
    </row>
    <row r="534" spans="1:5" ht="14.25" customHeight="1">
      <c r="A534" s="1"/>
      <c r="B534" s="19"/>
      <c r="C534" s="4"/>
      <c r="D534" s="2"/>
      <c r="E534" s="4"/>
    </row>
    <row r="535" spans="1:5" ht="14.25" customHeight="1">
      <c r="A535" s="1"/>
      <c r="B535" s="19"/>
      <c r="C535" s="4"/>
      <c r="D535" s="2"/>
      <c r="E535" s="4"/>
    </row>
    <row r="536" spans="1:5" ht="14.25" customHeight="1">
      <c r="A536" s="1"/>
      <c r="B536" s="19"/>
      <c r="C536" s="4"/>
      <c r="D536" s="2"/>
      <c r="E536" s="4"/>
    </row>
    <row r="537" spans="1:5" ht="14.25" customHeight="1">
      <c r="A537" s="1"/>
      <c r="B537" s="19"/>
      <c r="C537" s="4"/>
      <c r="D537" s="2"/>
      <c r="E537" s="4"/>
    </row>
    <row r="538" spans="1:5" ht="14.25" customHeight="1">
      <c r="A538" s="1"/>
      <c r="B538" s="19"/>
      <c r="C538" s="4"/>
      <c r="D538" s="2"/>
      <c r="E538" s="4"/>
    </row>
    <row r="539" spans="1:5" ht="14.25" customHeight="1">
      <c r="A539" s="1"/>
      <c r="B539" s="19"/>
      <c r="C539" s="4"/>
      <c r="D539" s="2"/>
      <c r="E539" s="4"/>
    </row>
    <row r="540" spans="1:5" ht="14.25" customHeight="1">
      <c r="A540" s="1"/>
      <c r="B540" s="19"/>
      <c r="C540" s="4"/>
      <c r="D540" s="2"/>
      <c r="E540" s="4"/>
    </row>
    <row r="541" spans="1:5" ht="14.25" customHeight="1">
      <c r="A541" s="1"/>
      <c r="B541" s="19"/>
      <c r="C541" s="4"/>
      <c r="D541" s="2"/>
      <c r="E541" s="4"/>
    </row>
    <row r="542" spans="1:5" ht="14.25" customHeight="1">
      <c r="A542" s="1"/>
      <c r="B542" s="19"/>
      <c r="C542" s="4"/>
      <c r="D542" s="2"/>
      <c r="E542" s="4"/>
    </row>
    <row r="543" spans="1:5" ht="14.25" customHeight="1">
      <c r="A543" s="1"/>
      <c r="B543" s="19"/>
      <c r="C543" s="4"/>
      <c r="D543" s="2"/>
      <c r="E543" s="4"/>
    </row>
    <row r="544" spans="1:5" ht="14.25" customHeight="1">
      <c r="A544" s="1"/>
      <c r="B544" s="19"/>
      <c r="C544" s="4"/>
      <c r="D544" s="2"/>
      <c r="E544" s="4"/>
    </row>
    <row r="545" spans="1:5" ht="14.25" customHeight="1">
      <c r="A545" s="1"/>
      <c r="B545" s="19"/>
      <c r="C545" s="4"/>
      <c r="D545" s="2"/>
      <c r="E545" s="4"/>
    </row>
    <row r="546" spans="1:5" ht="14.25" customHeight="1">
      <c r="A546" s="1"/>
      <c r="B546" s="19"/>
      <c r="C546" s="4"/>
      <c r="D546" s="2"/>
      <c r="E546" s="4"/>
    </row>
    <row r="547" spans="1:5" ht="14.25" customHeight="1">
      <c r="A547" s="1"/>
      <c r="B547" s="19"/>
      <c r="C547" s="4"/>
      <c r="D547" s="2"/>
      <c r="E547" s="4"/>
    </row>
    <row r="548" spans="1:5" ht="14.25" customHeight="1">
      <c r="A548" s="1"/>
      <c r="B548" s="19"/>
      <c r="C548" s="4"/>
      <c r="D548" s="2"/>
      <c r="E548" s="4"/>
    </row>
    <row r="549" spans="1:5" ht="14.25" customHeight="1">
      <c r="A549" s="1"/>
      <c r="B549" s="19"/>
      <c r="C549" s="4"/>
      <c r="D549" s="2"/>
      <c r="E549" s="4"/>
    </row>
    <row r="550" spans="1:5" ht="14.25" customHeight="1">
      <c r="A550" s="1"/>
      <c r="B550" s="19"/>
      <c r="C550" s="4"/>
      <c r="D550" s="2"/>
      <c r="E550" s="4"/>
    </row>
    <row r="551" spans="1:5" ht="14.25" customHeight="1">
      <c r="A551" s="1"/>
      <c r="B551" s="19"/>
      <c r="C551" s="4"/>
      <c r="D551" s="2"/>
      <c r="E551" s="4"/>
    </row>
    <row r="552" spans="1:5" ht="14.25" customHeight="1">
      <c r="A552" s="1"/>
      <c r="B552" s="19"/>
      <c r="C552" s="4"/>
      <c r="D552" s="2"/>
      <c r="E552" s="4"/>
    </row>
    <row r="553" spans="1:5" ht="14.25" customHeight="1">
      <c r="A553" s="1"/>
      <c r="B553" s="19"/>
      <c r="C553" s="4"/>
      <c r="D553" s="2"/>
      <c r="E553" s="4"/>
    </row>
    <row r="554" spans="1:5" ht="14.25" customHeight="1">
      <c r="A554" s="1"/>
      <c r="B554" s="19"/>
      <c r="C554" s="4"/>
      <c r="D554" s="2"/>
      <c r="E554" s="4"/>
    </row>
    <row r="555" spans="1:5" ht="14.25" customHeight="1">
      <c r="A555" s="1"/>
      <c r="B555" s="19"/>
      <c r="C555" s="4"/>
      <c r="D555" s="2"/>
      <c r="E555" s="4"/>
    </row>
    <row r="556" spans="1:5" ht="14.25" customHeight="1">
      <c r="A556" s="1"/>
      <c r="B556" s="19"/>
      <c r="C556" s="4"/>
      <c r="D556" s="2"/>
      <c r="E556" s="4"/>
    </row>
    <row r="557" spans="1:5" ht="14.25" customHeight="1">
      <c r="A557" s="1"/>
      <c r="B557" s="19"/>
      <c r="C557" s="4"/>
      <c r="D557" s="2"/>
      <c r="E557" s="4"/>
    </row>
    <row r="558" spans="1:5" ht="14.25" customHeight="1">
      <c r="A558" s="1"/>
      <c r="B558" s="19"/>
      <c r="C558" s="4"/>
      <c r="D558" s="2"/>
      <c r="E558" s="4"/>
    </row>
    <row r="559" spans="1:5" ht="14.25" customHeight="1">
      <c r="A559" s="1"/>
      <c r="B559" s="19"/>
      <c r="C559" s="4"/>
      <c r="D559" s="2"/>
      <c r="E559" s="4"/>
    </row>
    <row r="560" spans="1:5" ht="14.25" customHeight="1">
      <c r="A560" s="1"/>
      <c r="B560" s="19"/>
      <c r="C560" s="4"/>
      <c r="D560" s="2"/>
      <c r="E560" s="4"/>
    </row>
    <row r="561" spans="1:5" ht="14.25" customHeight="1">
      <c r="A561" s="1"/>
      <c r="B561" s="19"/>
      <c r="C561" s="4"/>
      <c r="D561" s="2"/>
      <c r="E561" s="4"/>
    </row>
    <row r="562" spans="1:5" ht="14.25" customHeight="1">
      <c r="A562" s="1"/>
      <c r="B562" s="19"/>
      <c r="C562" s="4"/>
      <c r="D562" s="2"/>
      <c r="E562" s="4"/>
    </row>
    <row r="563" spans="1:5" ht="14.25" customHeight="1">
      <c r="A563" s="1"/>
      <c r="B563" s="19"/>
      <c r="C563" s="4"/>
      <c r="D563" s="2"/>
      <c r="E563" s="4"/>
    </row>
    <row r="564" spans="1:5" ht="14.25" customHeight="1">
      <c r="A564" s="1"/>
      <c r="B564" s="19"/>
      <c r="C564" s="4"/>
      <c r="D564" s="2"/>
      <c r="E564" s="4"/>
    </row>
    <row r="565" spans="1:5" ht="14.25" customHeight="1">
      <c r="A565" s="1"/>
      <c r="B565" s="19"/>
      <c r="C565" s="4"/>
      <c r="D565" s="2"/>
      <c r="E565" s="4"/>
    </row>
    <row r="566" spans="1:5" ht="14.25" customHeight="1">
      <c r="A566" s="1"/>
      <c r="B566" s="19"/>
      <c r="C566" s="4"/>
      <c r="D566" s="2"/>
      <c r="E566" s="4"/>
    </row>
    <row r="567" spans="1:5" ht="14.25" customHeight="1">
      <c r="A567" s="1"/>
      <c r="B567" s="19"/>
      <c r="C567" s="4"/>
      <c r="D567" s="2"/>
      <c r="E567" s="4"/>
    </row>
    <row r="568" spans="1:5" ht="14.25" customHeight="1">
      <c r="A568" s="1"/>
      <c r="B568" s="19"/>
      <c r="C568" s="4"/>
      <c r="D568" s="2"/>
      <c r="E568" s="4"/>
    </row>
    <row r="569" spans="1:5" ht="14.25" customHeight="1">
      <c r="A569" s="1"/>
      <c r="B569" s="19"/>
      <c r="C569" s="4"/>
      <c r="D569" s="2"/>
      <c r="E569" s="4"/>
    </row>
    <row r="570" spans="1:5" ht="14.25" customHeight="1">
      <c r="A570" s="1"/>
      <c r="B570" s="19"/>
      <c r="C570" s="4"/>
      <c r="D570" s="2"/>
      <c r="E570" s="4"/>
    </row>
    <row r="571" spans="1:5" ht="14.25" customHeight="1">
      <c r="A571" s="1"/>
      <c r="B571" s="19"/>
      <c r="C571" s="4"/>
      <c r="D571" s="2"/>
      <c r="E571" s="4"/>
    </row>
    <row r="572" spans="1:5" ht="14.25" customHeight="1">
      <c r="A572" s="1"/>
      <c r="B572" s="19"/>
      <c r="C572" s="4"/>
      <c r="D572" s="2"/>
      <c r="E572" s="4"/>
    </row>
    <row r="573" spans="1:5" ht="14.25" customHeight="1">
      <c r="A573" s="1"/>
      <c r="B573" s="19"/>
      <c r="C573" s="4"/>
      <c r="D573" s="2"/>
      <c r="E573" s="4"/>
    </row>
    <row r="574" spans="1:5" ht="14.25" customHeight="1">
      <c r="A574" s="1"/>
      <c r="B574" s="19"/>
      <c r="C574" s="4"/>
      <c r="D574" s="2"/>
      <c r="E574" s="4"/>
    </row>
    <row r="575" spans="1:5" ht="14.25" customHeight="1">
      <c r="A575" s="1"/>
      <c r="B575" s="19"/>
      <c r="C575" s="4"/>
      <c r="D575" s="2"/>
      <c r="E575" s="4"/>
    </row>
    <row r="576" spans="1:5" ht="14.25" customHeight="1">
      <c r="A576" s="1"/>
      <c r="B576" s="19"/>
      <c r="C576" s="4"/>
      <c r="D576" s="2"/>
      <c r="E576" s="4"/>
    </row>
    <row r="577" spans="1:5" ht="14.25" customHeight="1">
      <c r="A577" s="1"/>
      <c r="B577" s="19"/>
      <c r="C577" s="4"/>
      <c r="D577" s="2"/>
      <c r="E577" s="4"/>
    </row>
    <row r="578" spans="1:5" ht="14.25" customHeight="1">
      <c r="A578" s="1"/>
      <c r="B578" s="19"/>
      <c r="C578" s="4"/>
      <c r="D578" s="2"/>
      <c r="E578" s="4"/>
    </row>
    <row r="579" spans="1:5" ht="14.25" customHeight="1">
      <c r="A579" s="1"/>
      <c r="B579" s="19"/>
      <c r="C579" s="4"/>
      <c r="D579" s="2"/>
      <c r="E579" s="4"/>
    </row>
    <row r="580" spans="1:5" ht="14.25" customHeight="1">
      <c r="A580" s="1"/>
      <c r="B580" s="19"/>
      <c r="C580" s="4"/>
      <c r="D580" s="2"/>
      <c r="E580" s="4"/>
    </row>
    <row r="581" spans="1:5" ht="14.25" customHeight="1">
      <c r="A581" s="1"/>
      <c r="B581" s="19"/>
      <c r="C581" s="4"/>
      <c r="D581" s="2"/>
      <c r="E581" s="4"/>
    </row>
    <row r="582" spans="1:5" ht="14.25" customHeight="1">
      <c r="A582" s="1"/>
      <c r="B582" s="19"/>
      <c r="C582" s="4"/>
      <c r="D582" s="2"/>
      <c r="E582" s="4"/>
    </row>
    <row r="583" spans="1:5" ht="14.25" customHeight="1">
      <c r="A583" s="1"/>
      <c r="B583" s="19"/>
      <c r="C583" s="4"/>
      <c r="D583" s="2"/>
      <c r="E583" s="4"/>
    </row>
    <row r="584" spans="1:5" ht="14.25" customHeight="1">
      <c r="A584" s="1"/>
      <c r="B584" s="19"/>
      <c r="C584" s="4"/>
      <c r="D584" s="2"/>
      <c r="E584" s="4"/>
    </row>
    <row r="585" spans="1:5" ht="14.25" customHeight="1">
      <c r="A585" s="1"/>
      <c r="B585" s="19"/>
      <c r="C585" s="4"/>
      <c r="D585" s="2"/>
      <c r="E585" s="4"/>
    </row>
    <row r="586" spans="1:5" ht="14.25" customHeight="1">
      <c r="A586" s="1"/>
      <c r="B586" s="19"/>
      <c r="C586" s="4"/>
      <c r="D586" s="2"/>
      <c r="E586" s="4"/>
    </row>
    <row r="587" spans="1:5" ht="14.25" customHeight="1">
      <c r="A587" s="1"/>
      <c r="B587" s="19"/>
      <c r="C587" s="4"/>
      <c r="D587" s="2"/>
      <c r="E587" s="4"/>
    </row>
    <row r="588" spans="1:5" ht="14.25" customHeight="1">
      <c r="A588" s="1"/>
      <c r="B588" s="19"/>
      <c r="C588" s="4"/>
      <c r="D588" s="2"/>
      <c r="E588" s="4"/>
    </row>
    <row r="589" spans="1:5" ht="14.25" customHeight="1">
      <c r="A589" s="1"/>
      <c r="B589" s="19"/>
      <c r="C589" s="4"/>
      <c r="D589" s="2"/>
      <c r="E589" s="4"/>
    </row>
    <row r="590" spans="1:5" ht="14.25" customHeight="1">
      <c r="A590" s="1"/>
      <c r="B590" s="19"/>
      <c r="C590" s="4"/>
      <c r="D590" s="2"/>
      <c r="E590" s="4"/>
    </row>
    <row r="591" spans="1:5" ht="14.25" customHeight="1">
      <c r="A591" s="1"/>
      <c r="B591" s="19"/>
      <c r="C591" s="4"/>
      <c r="D591" s="2"/>
      <c r="E591" s="4"/>
    </row>
    <row r="592" spans="1:5" ht="14.25" customHeight="1">
      <c r="A592" s="1"/>
      <c r="B592" s="19"/>
      <c r="C592" s="4"/>
      <c r="D592" s="2"/>
      <c r="E592" s="4"/>
    </row>
    <row r="593" spans="1:5" ht="14.25" customHeight="1">
      <c r="A593" s="1"/>
      <c r="B593" s="19"/>
      <c r="C593" s="4"/>
      <c r="D593" s="2"/>
      <c r="E593" s="4"/>
    </row>
    <row r="594" spans="1:5" ht="14.25" customHeight="1">
      <c r="A594" s="1"/>
      <c r="B594" s="19"/>
      <c r="C594" s="4"/>
      <c r="D594" s="2"/>
      <c r="E594" s="4"/>
    </row>
    <row r="595" spans="1:5" ht="14.25" customHeight="1">
      <c r="A595" s="1"/>
      <c r="B595" s="19"/>
      <c r="C595" s="4"/>
      <c r="D595" s="2"/>
      <c r="E595" s="4"/>
    </row>
    <row r="596" spans="1:5" ht="14.25" customHeight="1">
      <c r="A596" s="1"/>
      <c r="B596" s="19"/>
      <c r="C596" s="4"/>
      <c r="D596" s="2"/>
      <c r="E596" s="4"/>
    </row>
    <row r="597" spans="1:5" ht="14.25" customHeight="1">
      <c r="A597" s="1"/>
      <c r="B597" s="19"/>
      <c r="C597" s="4"/>
      <c r="D597" s="2"/>
      <c r="E597" s="4"/>
    </row>
    <row r="598" spans="1:5" ht="14.25" customHeight="1">
      <c r="A598" s="1"/>
      <c r="B598" s="19"/>
      <c r="C598" s="4"/>
      <c r="D598" s="2"/>
      <c r="E598" s="4"/>
    </row>
    <row r="599" spans="1:5" ht="14.25" customHeight="1">
      <c r="A599" s="1"/>
      <c r="B599" s="19"/>
      <c r="C599" s="4"/>
      <c r="D599" s="2"/>
      <c r="E599" s="4"/>
    </row>
    <row r="600" spans="1:5" ht="14.25" customHeight="1">
      <c r="A600" s="1"/>
      <c r="B600" s="19"/>
      <c r="C600" s="4"/>
      <c r="D600" s="2"/>
      <c r="E600" s="4"/>
    </row>
    <row r="601" spans="1:5" ht="14.25" customHeight="1">
      <c r="A601" s="1"/>
      <c r="B601" s="19"/>
      <c r="C601" s="4"/>
      <c r="D601" s="2"/>
      <c r="E601" s="4"/>
    </row>
    <row r="602" spans="1:5" ht="14.25" customHeight="1">
      <c r="A602" s="1"/>
      <c r="B602" s="19"/>
      <c r="C602" s="4"/>
      <c r="D602" s="2"/>
      <c r="E602" s="4"/>
    </row>
    <row r="603" spans="1:5" ht="14.25" customHeight="1">
      <c r="A603" s="1"/>
      <c r="B603" s="19"/>
      <c r="C603" s="4"/>
      <c r="D603" s="2"/>
      <c r="E603" s="4"/>
    </row>
    <row r="604" spans="1:5" ht="14.25" customHeight="1">
      <c r="A604" s="1"/>
      <c r="B604" s="19"/>
      <c r="C604" s="4"/>
      <c r="D604" s="2"/>
      <c r="E604" s="4"/>
    </row>
    <row r="605" spans="1:5" ht="14.25" customHeight="1">
      <c r="A605" s="1"/>
      <c r="B605" s="19"/>
      <c r="C605" s="4"/>
      <c r="D605" s="2"/>
      <c r="E605" s="4"/>
    </row>
    <row r="606" spans="1:5" ht="14.25" customHeight="1">
      <c r="A606" s="1"/>
      <c r="B606" s="19"/>
      <c r="C606" s="4"/>
      <c r="D606" s="2"/>
      <c r="E606" s="4"/>
    </row>
    <row r="607" spans="1:5" ht="14.25" customHeight="1">
      <c r="A607" s="1"/>
      <c r="B607" s="19"/>
      <c r="C607" s="4"/>
      <c r="D607" s="2"/>
      <c r="E607" s="4"/>
    </row>
    <row r="608" spans="1:5" ht="14.25" customHeight="1">
      <c r="A608" s="1"/>
      <c r="B608" s="19"/>
      <c r="C608" s="4"/>
      <c r="D608" s="2"/>
      <c r="E608" s="4"/>
    </row>
    <row r="609" spans="1:5" ht="14.25" customHeight="1">
      <c r="A609" s="1"/>
      <c r="B609" s="19"/>
      <c r="C609" s="4"/>
      <c r="D609" s="2"/>
      <c r="E609" s="4"/>
    </row>
    <row r="610" spans="1:5" ht="14.25" customHeight="1">
      <c r="A610" s="1"/>
      <c r="B610" s="19"/>
      <c r="C610" s="4"/>
      <c r="D610" s="2"/>
      <c r="E610" s="4"/>
    </row>
    <row r="611" spans="1:5" ht="14.25" customHeight="1">
      <c r="A611" s="1"/>
      <c r="B611" s="19"/>
      <c r="C611" s="4"/>
      <c r="D611" s="2"/>
      <c r="E611" s="4"/>
    </row>
    <row r="612" spans="1:5" ht="14.25" customHeight="1">
      <c r="A612" s="1"/>
      <c r="B612" s="19"/>
      <c r="C612" s="4"/>
      <c r="D612" s="2"/>
      <c r="E612" s="4"/>
    </row>
    <row r="613" spans="1:5" ht="14.25" customHeight="1">
      <c r="A613" s="1"/>
      <c r="B613" s="19"/>
      <c r="C613" s="4"/>
      <c r="D613" s="2"/>
      <c r="E613" s="4"/>
    </row>
    <row r="614" spans="1:5" ht="14.25" customHeight="1">
      <c r="A614" s="1"/>
      <c r="B614" s="19"/>
      <c r="C614" s="4"/>
      <c r="D614" s="2"/>
      <c r="E614" s="4"/>
    </row>
    <row r="615" spans="1:5" ht="14.25" customHeight="1">
      <c r="A615" s="1"/>
      <c r="B615" s="19"/>
      <c r="C615" s="4"/>
      <c r="D615" s="2"/>
      <c r="E615" s="4"/>
    </row>
    <row r="616" spans="1:5" ht="14.25" customHeight="1">
      <c r="A616" s="1"/>
      <c r="B616" s="19"/>
      <c r="C616" s="4"/>
      <c r="D616" s="2"/>
      <c r="E616" s="4"/>
    </row>
    <row r="617" spans="1:5" ht="14.25" customHeight="1">
      <c r="A617" s="1"/>
      <c r="B617" s="19"/>
      <c r="C617" s="4"/>
      <c r="D617" s="2"/>
      <c r="E617" s="4"/>
    </row>
    <row r="618" spans="1:5" ht="14.25" customHeight="1">
      <c r="A618" s="1"/>
      <c r="B618" s="19"/>
      <c r="C618" s="4"/>
      <c r="D618" s="2"/>
      <c r="E618" s="4"/>
    </row>
    <row r="619" spans="1:5" ht="14.25" customHeight="1">
      <c r="A619" s="1"/>
      <c r="B619" s="19"/>
      <c r="C619" s="4"/>
      <c r="D619" s="2"/>
      <c r="E619" s="4"/>
    </row>
    <row r="620" spans="1:5" ht="14.25" customHeight="1">
      <c r="A620" s="1"/>
      <c r="B620" s="19"/>
      <c r="C620" s="4"/>
      <c r="D620" s="2"/>
      <c r="E620" s="4"/>
    </row>
    <row r="621" spans="1:5" ht="14.25" customHeight="1">
      <c r="A621" s="1"/>
      <c r="B621" s="19"/>
      <c r="C621" s="4"/>
      <c r="D621" s="2"/>
      <c r="E621" s="4"/>
    </row>
    <row r="622" spans="1:5" ht="14.25" customHeight="1">
      <c r="A622" s="1"/>
      <c r="B622" s="19"/>
      <c r="C622" s="4"/>
      <c r="D622" s="2"/>
      <c r="E622" s="4"/>
    </row>
    <row r="623" spans="1:5" ht="14.25" customHeight="1">
      <c r="A623" s="1"/>
      <c r="B623" s="19"/>
      <c r="C623" s="4"/>
      <c r="D623" s="2"/>
      <c r="E623" s="4"/>
    </row>
    <row r="624" spans="1:5" ht="14.25" customHeight="1">
      <c r="A624" s="1"/>
      <c r="B624" s="19"/>
      <c r="C624" s="4"/>
      <c r="D624" s="2"/>
      <c r="E624" s="4"/>
    </row>
    <row r="625" spans="1:5" ht="14.25" customHeight="1">
      <c r="A625" s="1"/>
      <c r="B625" s="19"/>
      <c r="C625" s="4"/>
      <c r="D625" s="2"/>
      <c r="E625" s="4"/>
    </row>
    <row r="626" spans="1:5" ht="14.25" customHeight="1">
      <c r="A626" s="1"/>
      <c r="B626" s="19"/>
      <c r="C626" s="4"/>
      <c r="D626" s="2"/>
      <c r="E626" s="4"/>
    </row>
    <row r="627" spans="1:5" ht="14.25" customHeight="1">
      <c r="A627" s="1"/>
      <c r="B627" s="19"/>
      <c r="C627" s="4"/>
      <c r="D627" s="2"/>
      <c r="E627" s="4"/>
    </row>
    <row r="628" spans="1:5" ht="14.25" customHeight="1">
      <c r="A628" s="1"/>
      <c r="B628" s="19"/>
      <c r="C628" s="4"/>
      <c r="D628" s="2"/>
      <c r="E628" s="4"/>
    </row>
    <row r="629" spans="1:5" ht="14.25" customHeight="1">
      <c r="A629" s="1"/>
      <c r="B629" s="19"/>
      <c r="C629" s="4"/>
      <c r="D629" s="2"/>
      <c r="E629" s="4"/>
    </row>
    <row r="630" spans="1:5" ht="14.25" customHeight="1">
      <c r="A630" s="1"/>
      <c r="B630" s="19"/>
      <c r="C630" s="4"/>
      <c r="D630" s="2"/>
      <c r="E630" s="4"/>
    </row>
    <row r="631" spans="1:5" ht="14.25" customHeight="1">
      <c r="A631" s="1"/>
      <c r="B631" s="19"/>
      <c r="C631" s="4"/>
      <c r="D631" s="2"/>
      <c r="E631" s="4"/>
    </row>
    <row r="632" spans="1:5" ht="14.25" customHeight="1">
      <c r="A632" s="1"/>
      <c r="B632" s="19"/>
      <c r="C632" s="4"/>
      <c r="D632" s="2"/>
      <c r="E632" s="4"/>
    </row>
    <row r="633" spans="1:5" ht="14.25" customHeight="1">
      <c r="A633" s="1"/>
      <c r="B633" s="19"/>
      <c r="C633" s="4"/>
      <c r="D633" s="2"/>
      <c r="E633" s="4"/>
    </row>
    <row r="634" spans="1:5" ht="14.25" customHeight="1">
      <c r="A634" s="1"/>
      <c r="B634" s="19"/>
      <c r="C634" s="4"/>
      <c r="D634" s="2"/>
      <c r="E634" s="4"/>
    </row>
    <row r="635" spans="1:5" ht="14.25" customHeight="1">
      <c r="A635" s="1"/>
      <c r="B635" s="19"/>
      <c r="C635" s="4"/>
      <c r="D635" s="2"/>
      <c r="E635" s="4"/>
    </row>
    <row r="636" spans="1:5" ht="14.25" customHeight="1">
      <c r="A636" s="1"/>
      <c r="B636" s="19"/>
      <c r="C636" s="4"/>
      <c r="D636" s="2"/>
      <c r="E636" s="4"/>
    </row>
    <row r="637" spans="1:5" ht="14.25" customHeight="1">
      <c r="A637" s="1"/>
      <c r="B637" s="19"/>
      <c r="C637" s="4"/>
      <c r="D637" s="2"/>
      <c r="E637" s="4"/>
    </row>
    <row r="638" spans="1:5" ht="14.25" customHeight="1">
      <c r="A638" s="1"/>
      <c r="B638" s="19"/>
      <c r="C638" s="4"/>
      <c r="D638" s="2"/>
      <c r="E638" s="4"/>
    </row>
    <row r="639" spans="1:5" ht="14.25" customHeight="1">
      <c r="A639" s="1"/>
      <c r="B639" s="19"/>
      <c r="C639" s="4"/>
      <c r="D639" s="2"/>
      <c r="E639" s="4"/>
    </row>
    <row r="640" spans="1:5" ht="14.25" customHeight="1">
      <c r="A640" s="1"/>
      <c r="B640" s="19"/>
      <c r="C640" s="4"/>
      <c r="D640" s="2"/>
      <c r="E640" s="4"/>
    </row>
    <row r="641" spans="1:5" ht="14.25" customHeight="1">
      <c r="A641" s="1"/>
      <c r="B641" s="19"/>
      <c r="C641" s="4"/>
      <c r="D641" s="2"/>
      <c r="E641" s="4"/>
    </row>
    <row r="642" spans="1:5" ht="14.25" customHeight="1">
      <c r="A642" s="1"/>
      <c r="B642" s="19"/>
      <c r="C642" s="4"/>
      <c r="D642" s="2"/>
      <c r="E642" s="4"/>
    </row>
    <row r="643" spans="1:5" ht="14.25" customHeight="1">
      <c r="A643" s="1"/>
      <c r="B643" s="19"/>
      <c r="C643" s="4"/>
      <c r="D643" s="2"/>
      <c r="E643" s="4"/>
    </row>
    <row r="644" spans="1:5" ht="14.25" customHeight="1">
      <c r="A644" s="1"/>
      <c r="B644" s="19"/>
      <c r="C644" s="4"/>
      <c r="D644" s="2"/>
      <c r="E644" s="4"/>
    </row>
    <row r="645" spans="1:5" ht="14.25" customHeight="1">
      <c r="A645" s="1"/>
      <c r="B645" s="19"/>
      <c r="C645" s="4"/>
      <c r="D645" s="2"/>
      <c r="E645" s="4"/>
    </row>
    <row r="646" spans="1:5" ht="14.25" customHeight="1">
      <c r="A646" s="1"/>
      <c r="B646" s="19"/>
      <c r="C646" s="4"/>
      <c r="D646" s="2"/>
      <c r="E646" s="4"/>
    </row>
    <row r="647" spans="1:5" ht="14.25" customHeight="1">
      <c r="A647" s="1"/>
      <c r="B647" s="19"/>
      <c r="C647" s="4"/>
      <c r="D647" s="2"/>
      <c r="E647" s="4"/>
    </row>
    <row r="648" spans="1:5" ht="14.25" customHeight="1">
      <c r="A648" s="1"/>
      <c r="B648" s="19"/>
      <c r="C648" s="4"/>
      <c r="D648" s="2"/>
      <c r="E648" s="4"/>
    </row>
    <row r="649" spans="1:5" ht="14.25" customHeight="1">
      <c r="A649" s="1"/>
      <c r="B649" s="19"/>
      <c r="C649" s="4"/>
      <c r="D649" s="2"/>
      <c r="E649" s="4"/>
    </row>
    <row r="650" spans="1:5" ht="14.25" customHeight="1">
      <c r="A650" s="1"/>
      <c r="B650" s="19"/>
      <c r="C650" s="4"/>
      <c r="D650" s="2"/>
      <c r="E650" s="4"/>
    </row>
    <row r="651" spans="1:5" ht="14.25" customHeight="1">
      <c r="A651" s="1"/>
      <c r="B651" s="19"/>
      <c r="C651" s="4"/>
      <c r="D651" s="2"/>
      <c r="E651" s="4"/>
    </row>
    <row r="652" spans="1:5" ht="14.25" customHeight="1">
      <c r="A652" s="1"/>
      <c r="B652" s="19"/>
      <c r="C652" s="4"/>
      <c r="D652" s="2"/>
      <c r="E652" s="4"/>
    </row>
    <row r="653" spans="1:5" ht="14.25" customHeight="1">
      <c r="A653" s="1"/>
      <c r="B653" s="19"/>
      <c r="C653" s="4"/>
      <c r="D653" s="2"/>
      <c r="E653" s="4"/>
    </row>
    <row r="654" spans="1:5" ht="14.25" customHeight="1">
      <c r="A654" s="1"/>
      <c r="B654" s="19"/>
      <c r="C654" s="4"/>
      <c r="D654" s="2"/>
      <c r="E654" s="4"/>
    </row>
    <row r="655" spans="1:5" ht="14.25" customHeight="1">
      <c r="A655" s="1"/>
      <c r="B655" s="19"/>
      <c r="C655" s="4"/>
      <c r="D655" s="2"/>
      <c r="E655" s="4"/>
    </row>
    <row r="656" spans="1:5" ht="14.25" customHeight="1">
      <c r="A656" s="1"/>
      <c r="B656" s="19"/>
      <c r="C656" s="4"/>
      <c r="D656" s="2"/>
      <c r="E656" s="4"/>
    </row>
    <row r="657" spans="1:5" ht="14.25" customHeight="1">
      <c r="A657" s="1"/>
      <c r="B657" s="19"/>
      <c r="C657" s="4"/>
      <c r="D657" s="2"/>
      <c r="E657" s="4"/>
    </row>
    <row r="658" spans="1:5" ht="14.25" customHeight="1">
      <c r="A658" s="1"/>
      <c r="B658" s="19"/>
      <c r="C658" s="4"/>
      <c r="D658" s="2"/>
      <c r="E658" s="4"/>
    </row>
    <row r="659" spans="1:5" ht="14.25" customHeight="1">
      <c r="A659" s="1"/>
      <c r="B659" s="19"/>
      <c r="C659" s="4"/>
      <c r="D659" s="2"/>
      <c r="E659" s="4"/>
    </row>
    <row r="660" spans="1:5" ht="14.25" customHeight="1">
      <c r="A660" s="1"/>
      <c r="B660" s="19"/>
      <c r="C660" s="4"/>
      <c r="D660" s="2"/>
      <c r="E660" s="4"/>
    </row>
    <row r="661" spans="1:5" ht="14.25" customHeight="1">
      <c r="A661" s="1"/>
      <c r="B661" s="19"/>
      <c r="C661" s="4"/>
      <c r="D661" s="2"/>
      <c r="E661" s="4"/>
    </row>
    <row r="662" spans="1:5" ht="14.25" customHeight="1">
      <c r="A662" s="1"/>
      <c r="B662" s="19"/>
      <c r="C662" s="4"/>
      <c r="D662" s="2"/>
      <c r="E662" s="4"/>
    </row>
    <row r="663" spans="1:5" ht="14.25" customHeight="1">
      <c r="A663" s="1"/>
      <c r="B663" s="19"/>
      <c r="C663" s="4"/>
      <c r="D663" s="2"/>
      <c r="E663" s="4"/>
    </row>
    <row r="664" spans="1:5" ht="14.25" customHeight="1">
      <c r="A664" s="1"/>
      <c r="B664" s="19"/>
      <c r="C664" s="4"/>
      <c r="D664" s="2"/>
      <c r="E664" s="4"/>
    </row>
    <row r="665" spans="1:5" ht="14.25" customHeight="1">
      <c r="A665" s="1"/>
      <c r="B665" s="19"/>
      <c r="C665" s="4"/>
      <c r="D665" s="2"/>
      <c r="E665" s="4"/>
    </row>
    <row r="666" spans="1:5" ht="14.25" customHeight="1">
      <c r="A666" s="1"/>
      <c r="B666" s="19"/>
      <c r="C666" s="4"/>
      <c r="D666" s="2"/>
      <c r="E666" s="4"/>
    </row>
    <row r="667" spans="1:5" ht="14.25" customHeight="1">
      <c r="A667" s="1"/>
      <c r="B667" s="19"/>
      <c r="C667" s="4"/>
      <c r="D667" s="2"/>
      <c r="E667" s="4"/>
    </row>
    <row r="668" spans="1:5" ht="14.25" customHeight="1">
      <c r="A668" s="1"/>
      <c r="B668" s="19"/>
      <c r="C668" s="4"/>
      <c r="D668" s="2"/>
      <c r="E668" s="4"/>
    </row>
    <row r="669" spans="1:5" ht="14.25" customHeight="1">
      <c r="A669" s="1"/>
      <c r="B669" s="19"/>
      <c r="C669" s="4"/>
      <c r="D669" s="2"/>
      <c r="E669" s="4"/>
    </row>
    <row r="670" spans="1:5" ht="14.25" customHeight="1">
      <c r="A670" s="1"/>
      <c r="B670" s="19"/>
      <c r="C670" s="4"/>
      <c r="D670" s="2"/>
      <c r="E670" s="4"/>
    </row>
    <row r="671" spans="1:5" ht="14.25" customHeight="1">
      <c r="A671" s="1"/>
      <c r="B671" s="19"/>
      <c r="C671" s="4"/>
      <c r="D671" s="2"/>
      <c r="E671" s="4"/>
    </row>
    <row r="672" spans="1:5" ht="14.25" customHeight="1">
      <c r="A672" s="1"/>
      <c r="B672" s="19"/>
      <c r="C672" s="4"/>
      <c r="D672" s="2"/>
      <c r="E672" s="4"/>
    </row>
    <row r="673" spans="1:5" ht="14.25" customHeight="1">
      <c r="A673" s="1"/>
      <c r="B673" s="19"/>
      <c r="C673" s="4"/>
      <c r="D673" s="2"/>
      <c r="E673" s="4"/>
    </row>
    <row r="674" spans="1:5" ht="14.25" customHeight="1">
      <c r="A674" s="1"/>
      <c r="B674" s="19"/>
      <c r="C674" s="4"/>
      <c r="D674" s="2"/>
      <c r="E674" s="4"/>
    </row>
    <row r="675" spans="1:5" ht="14.25" customHeight="1">
      <c r="A675" s="1"/>
      <c r="B675" s="19"/>
      <c r="C675" s="4"/>
      <c r="D675" s="2"/>
      <c r="E675" s="4"/>
    </row>
    <row r="676" spans="1:5" ht="14.25" customHeight="1">
      <c r="A676" s="1"/>
      <c r="B676" s="19"/>
      <c r="C676" s="4"/>
      <c r="D676" s="2"/>
      <c r="E676" s="4"/>
    </row>
    <row r="677" spans="1:5" ht="14.25" customHeight="1">
      <c r="A677" s="1"/>
      <c r="B677" s="19"/>
      <c r="C677" s="4"/>
      <c r="D677" s="2"/>
      <c r="E677" s="4"/>
    </row>
    <row r="678" spans="1:5" ht="14.25" customHeight="1">
      <c r="A678" s="1"/>
      <c r="B678" s="19"/>
      <c r="C678" s="4"/>
      <c r="D678" s="2"/>
      <c r="E678" s="4"/>
    </row>
    <row r="679" spans="1:5" ht="14.25" customHeight="1">
      <c r="A679" s="1"/>
      <c r="B679" s="19"/>
      <c r="C679" s="4"/>
      <c r="D679" s="2"/>
      <c r="E679" s="4"/>
    </row>
    <row r="680" spans="1:5" ht="14.25" customHeight="1">
      <c r="A680" s="1"/>
      <c r="B680" s="19"/>
      <c r="C680" s="4"/>
      <c r="D680" s="2"/>
      <c r="E680" s="4"/>
    </row>
    <row r="681" spans="1:5" ht="14.25" customHeight="1">
      <c r="A681" s="1"/>
      <c r="B681" s="19"/>
      <c r="C681" s="4"/>
      <c r="D681" s="2"/>
      <c r="E681" s="4"/>
    </row>
    <row r="682" spans="1:5" ht="14.25" customHeight="1">
      <c r="A682" s="1"/>
      <c r="B682" s="19"/>
      <c r="C682" s="4"/>
      <c r="D682" s="2"/>
      <c r="E682" s="4"/>
    </row>
    <row r="683" spans="1:5" ht="14.25" customHeight="1">
      <c r="A683" s="1"/>
      <c r="B683" s="19"/>
      <c r="C683" s="4"/>
      <c r="D683" s="2"/>
      <c r="E683" s="4"/>
    </row>
    <row r="684" spans="1:5" ht="14.25" customHeight="1">
      <c r="A684" s="1"/>
      <c r="B684" s="19"/>
      <c r="C684" s="4"/>
      <c r="D684" s="2"/>
      <c r="E684" s="4"/>
    </row>
    <row r="685" spans="1:5" ht="14.25" customHeight="1">
      <c r="A685" s="1"/>
      <c r="B685" s="19"/>
      <c r="C685" s="4"/>
      <c r="D685" s="2"/>
      <c r="E685" s="4"/>
    </row>
    <row r="686" spans="1:5" ht="14.25" customHeight="1">
      <c r="A686" s="1"/>
      <c r="B686" s="19"/>
      <c r="C686" s="4"/>
      <c r="D686" s="2"/>
      <c r="E686" s="4"/>
    </row>
    <row r="687" spans="1:5" ht="14.25" customHeight="1">
      <c r="A687" s="1"/>
      <c r="B687" s="19"/>
      <c r="C687" s="4"/>
      <c r="D687" s="2"/>
      <c r="E687" s="4"/>
    </row>
    <row r="688" spans="1:5" ht="14.25" customHeight="1">
      <c r="A688" s="1"/>
      <c r="B688" s="19"/>
      <c r="C688" s="4"/>
      <c r="D688" s="2"/>
      <c r="E688" s="4"/>
    </row>
    <row r="689" spans="1:5" ht="14.25" customHeight="1">
      <c r="A689" s="1"/>
      <c r="B689" s="19"/>
      <c r="C689" s="4"/>
      <c r="D689" s="2"/>
      <c r="E689" s="4"/>
    </row>
    <row r="690" spans="1:5" ht="14.25" customHeight="1">
      <c r="A690" s="1"/>
      <c r="B690" s="19"/>
      <c r="C690" s="4"/>
      <c r="D690" s="2"/>
      <c r="E690" s="4"/>
    </row>
    <row r="691" spans="1:5" ht="14.25" customHeight="1">
      <c r="A691" s="1"/>
      <c r="B691" s="19"/>
      <c r="C691" s="4"/>
      <c r="D691" s="2"/>
      <c r="E691" s="4"/>
    </row>
    <row r="692" spans="1:5" ht="14.25" customHeight="1">
      <c r="A692" s="1"/>
      <c r="B692" s="19"/>
      <c r="C692" s="4"/>
      <c r="D692" s="2"/>
      <c r="E692" s="4"/>
    </row>
    <row r="693" spans="1:5" ht="14.25" customHeight="1">
      <c r="A693" s="1"/>
      <c r="B693" s="19"/>
      <c r="C693" s="4"/>
      <c r="D693" s="2"/>
      <c r="E693" s="4"/>
    </row>
    <row r="694" spans="1:5" ht="14.25" customHeight="1">
      <c r="A694" s="1"/>
      <c r="B694" s="19"/>
      <c r="C694" s="4"/>
      <c r="D694" s="2"/>
      <c r="E694" s="4"/>
    </row>
    <row r="695" spans="1:5" ht="14.25" customHeight="1">
      <c r="A695" s="1"/>
      <c r="B695" s="19"/>
      <c r="C695" s="4"/>
      <c r="D695" s="2"/>
      <c r="E695" s="4"/>
    </row>
    <row r="696" spans="1:5" ht="14.25" customHeight="1">
      <c r="A696" s="1"/>
      <c r="B696" s="19"/>
      <c r="C696" s="4"/>
      <c r="D696" s="2"/>
      <c r="E696" s="4"/>
    </row>
    <row r="697" spans="1:5" ht="14.25" customHeight="1">
      <c r="A697" s="1"/>
      <c r="B697" s="19"/>
      <c r="C697" s="4"/>
      <c r="D697" s="2"/>
      <c r="E697" s="4"/>
    </row>
    <row r="698" spans="1:5" ht="14.25" customHeight="1">
      <c r="A698" s="1"/>
      <c r="B698" s="19"/>
      <c r="C698" s="4"/>
      <c r="D698" s="2"/>
      <c r="E698" s="4"/>
    </row>
    <row r="699" spans="1:5" ht="14.25" customHeight="1">
      <c r="A699" s="1"/>
      <c r="B699" s="19"/>
      <c r="C699" s="4"/>
      <c r="D699" s="2"/>
      <c r="E699" s="4"/>
    </row>
    <row r="700" spans="1:5" ht="14.25" customHeight="1">
      <c r="A700" s="1"/>
      <c r="B700" s="19"/>
      <c r="C700" s="4"/>
      <c r="D700" s="2"/>
      <c r="E700" s="4"/>
    </row>
    <row r="701" spans="1:5" ht="14.25" customHeight="1">
      <c r="A701" s="1"/>
      <c r="B701" s="19"/>
      <c r="C701" s="4"/>
      <c r="D701" s="2"/>
      <c r="E701" s="4"/>
    </row>
    <row r="702" spans="1:5" ht="14.25" customHeight="1">
      <c r="A702" s="1"/>
      <c r="B702" s="19"/>
      <c r="C702" s="4"/>
      <c r="D702" s="2"/>
      <c r="E702" s="4"/>
    </row>
    <row r="703" spans="1:5" ht="14.25" customHeight="1">
      <c r="A703" s="1"/>
      <c r="B703" s="19"/>
      <c r="C703" s="4"/>
      <c r="D703" s="2"/>
      <c r="E703" s="4"/>
    </row>
    <row r="704" spans="1:5" ht="14.25" customHeight="1">
      <c r="A704" s="1"/>
      <c r="B704" s="19"/>
      <c r="C704" s="4"/>
      <c r="D704" s="2"/>
      <c r="E704" s="4"/>
    </row>
    <row r="705" spans="1:5" ht="14.25" customHeight="1">
      <c r="A705" s="1"/>
      <c r="B705" s="19"/>
      <c r="C705" s="4"/>
      <c r="D705" s="2"/>
      <c r="E705" s="4"/>
    </row>
    <row r="706" spans="1:5" ht="14.25" customHeight="1">
      <c r="A706" s="1"/>
      <c r="B706" s="19"/>
      <c r="C706" s="4"/>
      <c r="D706" s="2"/>
      <c r="E706" s="4"/>
    </row>
    <row r="707" spans="1:5" ht="14.25" customHeight="1">
      <c r="A707" s="1"/>
      <c r="B707" s="19"/>
      <c r="C707" s="4"/>
      <c r="D707" s="2"/>
      <c r="E707" s="4"/>
    </row>
    <row r="708" spans="1:5" ht="14.25" customHeight="1">
      <c r="A708" s="1"/>
      <c r="B708" s="19"/>
      <c r="C708" s="4"/>
      <c r="D708" s="2"/>
      <c r="E708" s="4"/>
    </row>
    <row r="709" spans="1:5" ht="14.25" customHeight="1">
      <c r="A709" s="1"/>
      <c r="B709" s="19"/>
      <c r="C709" s="4"/>
      <c r="D709" s="2"/>
      <c r="E709" s="4"/>
    </row>
    <row r="710" spans="1:5" ht="14.25" customHeight="1">
      <c r="A710" s="1"/>
      <c r="B710" s="19"/>
      <c r="C710" s="4"/>
      <c r="D710" s="2"/>
      <c r="E710" s="4"/>
    </row>
    <row r="711" spans="1:5" ht="14.25" customHeight="1">
      <c r="A711" s="1"/>
      <c r="B711" s="19"/>
      <c r="C711" s="4"/>
      <c r="D711" s="2"/>
      <c r="E711" s="4"/>
    </row>
    <row r="712" spans="1:5" ht="14.25" customHeight="1">
      <c r="A712" s="1"/>
      <c r="B712" s="19"/>
      <c r="C712" s="4"/>
      <c r="D712" s="2"/>
      <c r="E712" s="4"/>
    </row>
    <row r="713" spans="1:5" ht="14.25" customHeight="1">
      <c r="A713" s="1"/>
      <c r="B713" s="19"/>
      <c r="C713" s="4"/>
      <c r="D713" s="2"/>
      <c r="E713" s="4"/>
    </row>
    <row r="714" spans="1:5" ht="14.25" customHeight="1">
      <c r="A714" s="1"/>
      <c r="B714" s="19"/>
      <c r="C714" s="4"/>
      <c r="D714" s="2"/>
      <c r="E714" s="4"/>
    </row>
    <row r="715" spans="1:5" ht="14.25" customHeight="1">
      <c r="A715" s="1"/>
      <c r="B715" s="19"/>
      <c r="C715" s="4"/>
      <c r="D715" s="2"/>
      <c r="E715" s="4"/>
    </row>
    <row r="716" spans="1:5" ht="14.25" customHeight="1">
      <c r="A716" s="1"/>
      <c r="B716" s="19"/>
      <c r="C716" s="4"/>
      <c r="D716" s="2"/>
      <c r="E716" s="4"/>
    </row>
    <row r="717" spans="1:5" ht="14.25" customHeight="1">
      <c r="A717" s="1"/>
      <c r="B717" s="19"/>
      <c r="C717" s="4"/>
      <c r="D717" s="2"/>
      <c r="E717" s="4"/>
    </row>
    <row r="718" spans="1:5" ht="14.25" customHeight="1">
      <c r="A718" s="1"/>
      <c r="B718" s="19"/>
      <c r="C718" s="4"/>
      <c r="D718" s="2"/>
      <c r="E718" s="4"/>
    </row>
    <row r="719" spans="1:5" ht="14.25" customHeight="1">
      <c r="A719" s="1"/>
      <c r="B719" s="19"/>
      <c r="C719" s="4"/>
      <c r="D719" s="2"/>
      <c r="E719" s="4"/>
    </row>
    <row r="720" spans="1:5" ht="14.25" customHeight="1">
      <c r="A720" s="1"/>
      <c r="B720" s="19"/>
      <c r="C720" s="4"/>
      <c r="D720" s="2"/>
      <c r="E720" s="4"/>
    </row>
    <row r="721" spans="1:5" ht="14.25" customHeight="1">
      <c r="A721" s="1"/>
      <c r="B721" s="19"/>
      <c r="C721" s="4"/>
      <c r="D721" s="2"/>
      <c r="E721" s="4"/>
    </row>
    <row r="722" spans="1:5" ht="14.25" customHeight="1">
      <c r="A722" s="1"/>
      <c r="B722" s="19"/>
      <c r="C722" s="4"/>
      <c r="D722" s="2"/>
      <c r="E722" s="4"/>
    </row>
    <row r="723" spans="1:5" ht="14.25" customHeight="1">
      <c r="A723" s="1"/>
      <c r="B723" s="19"/>
      <c r="C723" s="4"/>
      <c r="D723" s="2"/>
      <c r="E723" s="4"/>
    </row>
    <row r="724" spans="1:5" ht="14.25" customHeight="1">
      <c r="A724" s="1"/>
      <c r="B724" s="19"/>
      <c r="C724" s="4"/>
      <c r="D724" s="2"/>
      <c r="E724" s="4"/>
    </row>
    <row r="725" spans="1:5" ht="14.25" customHeight="1">
      <c r="A725" s="1"/>
      <c r="B725" s="19"/>
      <c r="C725" s="4"/>
      <c r="D725" s="2"/>
      <c r="E725" s="4"/>
    </row>
    <row r="726" spans="1:5" ht="14.25" customHeight="1">
      <c r="A726" s="1"/>
      <c r="B726" s="19"/>
      <c r="C726" s="4"/>
      <c r="D726" s="2"/>
      <c r="E726" s="4"/>
    </row>
    <row r="727" spans="1:5" ht="14.25" customHeight="1">
      <c r="A727" s="1"/>
      <c r="B727" s="19"/>
      <c r="C727" s="4"/>
      <c r="D727" s="2"/>
      <c r="E727" s="4"/>
    </row>
    <row r="728" spans="1:5" ht="14.25" customHeight="1">
      <c r="A728" s="1"/>
      <c r="B728" s="19"/>
      <c r="C728" s="4"/>
      <c r="D728" s="2"/>
      <c r="E728" s="4"/>
    </row>
    <row r="729" spans="1:5" ht="14.25" customHeight="1">
      <c r="A729" s="1"/>
      <c r="B729" s="19"/>
      <c r="C729" s="4"/>
      <c r="D729" s="2"/>
      <c r="E729" s="4"/>
    </row>
    <row r="730" spans="1:5" ht="14.25" customHeight="1">
      <c r="A730" s="1"/>
      <c r="B730" s="19"/>
      <c r="C730" s="4"/>
      <c r="D730" s="2"/>
      <c r="E730" s="4"/>
    </row>
    <row r="731" spans="1:5" ht="14.25" customHeight="1">
      <c r="A731" s="1"/>
      <c r="B731" s="19"/>
      <c r="C731" s="4"/>
      <c r="D731" s="2"/>
      <c r="E731" s="4"/>
    </row>
    <row r="732" spans="1:5" ht="14.25" customHeight="1">
      <c r="A732" s="1"/>
      <c r="B732" s="19"/>
      <c r="C732" s="4"/>
      <c r="D732" s="2"/>
      <c r="E732" s="4"/>
    </row>
    <row r="733" spans="1:5" ht="14.25" customHeight="1">
      <c r="A733" s="1"/>
      <c r="B733" s="19"/>
      <c r="C733" s="4"/>
      <c r="D733" s="2"/>
      <c r="E733" s="4"/>
    </row>
    <row r="734" spans="1:5" ht="14.25" customHeight="1">
      <c r="A734" s="1"/>
      <c r="B734" s="19"/>
      <c r="C734" s="4"/>
      <c r="D734" s="2"/>
      <c r="E734" s="4"/>
    </row>
    <row r="735" spans="1:5" ht="14.25" customHeight="1">
      <c r="A735" s="1"/>
      <c r="B735" s="19"/>
      <c r="C735" s="4"/>
      <c r="D735" s="2"/>
      <c r="E735" s="4"/>
    </row>
    <row r="736" spans="1:5" ht="14.25" customHeight="1">
      <c r="A736" s="1"/>
      <c r="B736" s="19"/>
      <c r="C736" s="4"/>
      <c r="D736" s="2"/>
      <c r="E736" s="4"/>
    </row>
    <row r="737" spans="1:5" ht="14.25" customHeight="1">
      <c r="A737" s="1"/>
      <c r="B737" s="19"/>
      <c r="C737" s="4"/>
      <c r="D737" s="2"/>
      <c r="E737" s="4"/>
    </row>
    <row r="738" spans="1:5" ht="14.25" customHeight="1">
      <c r="A738" s="1"/>
      <c r="B738" s="19"/>
      <c r="C738" s="4"/>
      <c r="D738" s="2"/>
      <c r="E738" s="4"/>
    </row>
    <row r="739" spans="1:5" ht="14.25" customHeight="1">
      <c r="A739" s="1"/>
      <c r="B739" s="19"/>
      <c r="C739" s="4"/>
      <c r="D739" s="2"/>
      <c r="E739" s="4"/>
    </row>
    <row r="740" spans="1:5" ht="14.25" customHeight="1">
      <c r="A740" s="1"/>
      <c r="B740" s="19"/>
      <c r="C740" s="4"/>
      <c r="D740" s="2"/>
      <c r="E740" s="4"/>
    </row>
    <row r="741" spans="1:5" ht="14.25" customHeight="1">
      <c r="A741" s="1"/>
      <c r="B741" s="19"/>
      <c r="C741" s="4"/>
      <c r="D741" s="2"/>
      <c r="E741" s="4"/>
    </row>
    <row r="742" spans="1:5" ht="14.25" customHeight="1">
      <c r="A742" s="1"/>
      <c r="B742" s="19"/>
      <c r="C742" s="4"/>
      <c r="D742" s="2"/>
      <c r="E742" s="4"/>
    </row>
    <row r="743" spans="1:5" ht="14.25" customHeight="1">
      <c r="A743" s="1"/>
      <c r="B743" s="19"/>
      <c r="C743" s="4"/>
      <c r="D743" s="2"/>
      <c r="E743" s="4"/>
    </row>
    <row r="744" spans="1:5" ht="14.25" customHeight="1">
      <c r="A744" s="1"/>
      <c r="B744" s="19"/>
      <c r="C744" s="4"/>
      <c r="D744" s="2"/>
      <c r="E744" s="4"/>
    </row>
    <row r="745" spans="1:5" ht="14.25" customHeight="1">
      <c r="A745" s="1"/>
      <c r="B745" s="19"/>
      <c r="C745" s="4"/>
      <c r="D745" s="2"/>
      <c r="E745" s="4"/>
    </row>
    <row r="746" spans="1:5" ht="14.25" customHeight="1">
      <c r="A746" s="1"/>
      <c r="B746" s="19"/>
      <c r="C746" s="4"/>
      <c r="D746" s="2"/>
      <c r="E746" s="4"/>
    </row>
    <row r="747" spans="1:5" ht="14.25" customHeight="1">
      <c r="A747" s="1"/>
      <c r="B747" s="19"/>
      <c r="C747" s="4"/>
      <c r="D747" s="2"/>
      <c r="E747" s="4"/>
    </row>
    <row r="748" spans="1:5" ht="14.25" customHeight="1">
      <c r="A748" s="1"/>
      <c r="B748" s="19"/>
      <c r="C748" s="4"/>
      <c r="D748" s="2"/>
      <c r="E748" s="4"/>
    </row>
    <row r="749" spans="1:5" ht="14.25" customHeight="1">
      <c r="A749" s="1"/>
      <c r="B749" s="19"/>
      <c r="C749" s="4"/>
      <c r="D749" s="2"/>
      <c r="E749" s="4"/>
    </row>
    <row r="750" spans="1:5" ht="14.25" customHeight="1">
      <c r="A750" s="1"/>
      <c r="B750" s="19"/>
      <c r="C750" s="4"/>
      <c r="D750" s="2"/>
      <c r="E750" s="4"/>
    </row>
    <row r="751" spans="1:5" ht="14.25" customHeight="1">
      <c r="A751" s="1"/>
      <c r="B751" s="19"/>
      <c r="C751" s="4"/>
      <c r="D751" s="2"/>
      <c r="E751" s="4"/>
    </row>
    <row r="752" spans="1:5" ht="14.25" customHeight="1">
      <c r="A752" s="1"/>
      <c r="B752" s="19"/>
      <c r="C752" s="4"/>
      <c r="D752" s="2"/>
      <c r="E752" s="4"/>
    </row>
    <row r="753" spans="1:5" ht="14.25" customHeight="1">
      <c r="A753" s="1"/>
      <c r="B753" s="19"/>
      <c r="C753" s="4"/>
      <c r="D753" s="2"/>
      <c r="E753" s="4"/>
    </row>
    <row r="754" spans="1:5" ht="14.25" customHeight="1">
      <c r="A754" s="1"/>
      <c r="B754" s="19"/>
      <c r="C754" s="4"/>
      <c r="D754" s="2"/>
      <c r="E754" s="4"/>
    </row>
    <row r="755" spans="1:5" ht="14.25" customHeight="1">
      <c r="A755" s="1"/>
      <c r="B755" s="19"/>
      <c r="C755" s="4"/>
      <c r="D755" s="2"/>
      <c r="E755" s="4"/>
    </row>
    <row r="756" spans="1:5" ht="14.25" customHeight="1">
      <c r="A756" s="1"/>
      <c r="B756" s="19"/>
      <c r="C756" s="4"/>
      <c r="D756" s="2"/>
      <c r="E756" s="4"/>
    </row>
    <row r="757" spans="1:5" ht="14.25" customHeight="1">
      <c r="A757" s="1"/>
      <c r="B757" s="19"/>
      <c r="C757" s="4"/>
      <c r="D757" s="2"/>
      <c r="E757" s="4"/>
    </row>
    <row r="758" spans="1:5" ht="14.25" customHeight="1">
      <c r="A758" s="1"/>
      <c r="B758" s="19"/>
      <c r="C758" s="4"/>
      <c r="D758" s="2"/>
      <c r="E758" s="4"/>
    </row>
    <row r="759" spans="1:5" ht="14.25" customHeight="1">
      <c r="A759" s="1"/>
      <c r="B759" s="19"/>
      <c r="C759" s="4"/>
      <c r="D759" s="2"/>
      <c r="E759" s="4"/>
    </row>
    <row r="760" spans="1:5" ht="14.25" customHeight="1">
      <c r="A760" s="1"/>
      <c r="B760" s="19"/>
      <c r="C760" s="4"/>
      <c r="D760" s="2"/>
      <c r="E760" s="4"/>
    </row>
    <row r="761" spans="1:5" ht="14.25" customHeight="1">
      <c r="A761" s="1"/>
      <c r="B761" s="19"/>
      <c r="C761" s="4"/>
      <c r="D761" s="2"/>
      <c r="E761" s="4"/>
    </row>
    <row r="762" spans="1:5" ht="14.25" customHeight="1">
      <c r="A762" s="1"/>
      <c r="B762" s="19"/>
      <c r="C762" s="4"/>
      <c r="D762" s="2"/>
      <c r="E762" s="4"/>
    </row>
    <row r="763" spans="1:5" ht="14.25" customHeight="1">
      <c r="A763" s="1"/>
      <c r="B763" s="19"/>
      <c r="C763" s="4"/>
      <c r="D763" s="2"/>
      <c r="E763" s="4"/>
    </row>
    <row r="764" spans="1:5" ht="14.25" customHeight="1">
      <c r="A764" s="1"/>
      <c r="B764" s="19"/>
      <c r="C764" s="4"/>
      <c r="D764" s="2"/>
      <c r="E764" s="4"/>
    </row>
    <row r="765" spans="1:5" ht="14.25" customHeight="1">
      <c r="A765" s="1"/>
      <c r="B765" s="19"/>
      <c r="C765" s="4"/>
      <c r="D765" s="2"/>
      <c r="E765" s="4"/>
    </row>
    <row r="766" spans="1:5" ht="14.25" customHeight="1">
      <c r="A766" s="1"/>
      <c r="B766" s="19"/>
      <c r="C766" s="4"/>
      <c r="D766" s="2"/>
      <c r="E766" s="4"/>
    </row>
    <row r="767" spans="1:5" ht="14.25" customHeight="1">
      <c r="A767" s="1"/>
      <c r="B767" s="19"/>
      <c r="C767" s="4"/>
      <c r="D767" s="2"/>
      <c r="E767" s="4"/>
    </row>
    <row r="768" spans="1:5" ht="14.25" customHeight="1">
      <c r="A768" s="1"/>
      <c r="B768" s="19"/>
      <c r="C768" s="4"/>
      <c r="D768" s="2"/>
      <c r="E768" s="4"/>
    </row>
    <row r="769" spans="1:5" ht="14.25" customHeight="1">
      <c r="A769" s="1"/>
      <c r="B769" s="19"/>
      <c r="C769" s="4"/>
      <c r="D769" s="2"/>
      <c r="E769" s="4"/>
    </row>
    <row r="770" spans="1:5" ht="14.25" customHeight="1">
      <c r="A770" s="1"/>
      <c r="B770" s="19"/>
      <c r="C770" s="4"/>
      <c r="D770" s="2"/>
      <c r="E770" s="4"/>
    </row>
    <row r="771" spans="1:5" ht="14.25" customHeight="1">
      <c r="A771" s="1"/>
      <c r="B771" s="19"/>
      <c r="C771" s="4"/>
      <c r="D771" s="2"/>
      <c r="E771" s="4"/>
    </row>
    <row r="772" spans="1:5" ht="14.25" customHeight="1">
      <c r="A772" s="1"/>
      <c r="B772" s="19"/>
      <c r="C772" s="4"/>
      <c r="D772" s="2"/>
      <c r="E772" s="4"/>
    </row>
    <row r="773" spans="1:5" ht="14.25" customHeight="1">
      <c r="A773" s="1"/>
      <c r="B773" s="19"/>
      <c r="C773" s="4"/>
      <c r="D773" s="2"/>
      <c r="E773" s="4"/>
    </row>
    <row r="774" spans="1:5" ht="14.25" customHeight="1">
      <c r="A774" s="1"/>
      <c r="B774" s="19"/>
      <c r="C774" s="4"/>
      <c r="D774" s="2"/>
      <c r="E774" s="4"/>
    </row>
    <row r="775" spans="1:5" ht="14.25" customHeight="1">
      <c r="A775" s="1"/>
      <c r="B775" s="19"/>
      <c r="C775" s="4"/>
      <c r="D775" s="2"/>
      <c r="E775" s="4"/>
    </row>
    <row r="776" spans="1:5" ht="14.25" customHeight="1">
      <c r="A776" s="1"/>
      <c r="B776" s="19"/>
      <c r="C776" s="4"/>
      <c r="D776" s="2"/>
      <c r="E776" s="4"/>
    </row>
    <row r="777" spans="1:5" ht="14.25" customHeight="1">
      <c r="A777" s="1"/>
      <c r="B777" s="19"/>
      <c r="C777" s="4"/>
      <c r="D777" s="2"/>
      <c r="E777" s="4"/>
    </row>
    <row r="778" spans="1:5" ht="14.25" customHeight="1">
      <c r="A778" s="1"/>
      <c r="B778" s="19"/>
      <c r="C778" s="4"/>
      <c r="D778" s="2"/>
      <c r="E778" s="4"/>
    </row>
    <row r="779" spans="1:5" ht="14.25" customHeight="1">
      <c r="A779" s="1"/>
      <c r="B779" s="19"/>
      <c r="C779" s="4"/>
      <c r="D779" s="2"/>
      <c r="E779" s="4"/>
    </row>
    <row r="780" spans="1:5" ht="14.25" customHeight="1">
      <c r="A780" s="1"/>
      <c r="B780" s="19"/>
      <c r="C780" s="4"/>
      <c r="D780" s="2"/>
      <c r="E780" s="4"/>
    </row>
    <row r="781" spans="1:5" ht="14.25" customHeight="1">
      <c r="A781" s="1"/>
      <c r="B781" s="19"/>
      <c r="C781" s="4"/>
      <c r="D781" s="2"/>
      <c r="E781" s="4"/>
    </row>
    <row r="782" spans="1:5" ht="14.25" customHeight="1">
      <c r="A782" s="1"/>
      <c r="B782" s="19"/>
      <c r="C782" s="4"/>
      <c r="D782" s="2"/>
      <c r="E782" s="4"/>
    </row>
    <row r="783" spans="1:5" ht="14.25" customHeight="1">
      <c r="A783" s="1"/>
      <c r="B783" s="19"/>
      <c r="C783" s="4"/>
      <c r="D783" s="2"/>
      <c r="E783" s="4"/>
    </row>
    <row r="784" spans="1:5" ht="14.25" customHeight="1">
      <c r="A784" s="1"/>
      <c r="B784" s="19"/>
      <c r="C784" s="4"/>
      <c r="D784" s="2"/>
      <c r="E784" s="4"/>
    </row>
    <row r="785" spans="1:5" ht="14.25" customHeight="1">
      <c r="A785" s="1"/>
      <c r="B785" s="19"/>
      <c r="C785" s="4"/>
      <c r="D785" s="2"/>
      <c r="E785" s="4"/>
    </row>
    <row r="786" spans="1:5" ht="14.25" customHeight="1">
      <c r="A786" s="1"/>
      <c r="B786" s="19"/>
      <c r="C786" s="4"/>
      <c r="D786" s="2"/>
      <c r="E786" s="4"/>
    </row>
    <row r="787" spans="1:5" ht="14.25" customHeight="1">
      <c r="A787" s="1"/>
      <c r="B787" s="19"/>
      <c r="C787" s="4"/>
      <c r="D787" s="2"/>
      <c r="E787" s="4"/>
    </row>
    <row r="788" spans="1:5" ht="14.25" customHeight="1">
      <c r="A788" s="1"/>
      <c r="B788" s="19"/>
      <c r="C788" s="4"/>
      <c r="D788" s="2"/>
      <c r="E788" s="4"/>
    </row>
    <row r="789" spans="1:5" ht="14.25" customHeight="1">
      <c r="A789" s="1"/>
      <c r="B789" s="19"/>
      <c r="C789" s="4"/>
      <c r="D789" s="2"/>
      <c r="E789" s="4"/>
    </row>
    <row r="790" spans="1:5" ht="14.25" customHeight="1">
      <c r="A790" s="1"/>
      <c r="B790" s="19"/>
      <c r="C790" s="4"/>
      <c r="D790" s="2"/>
      <c r="E790" s="4"/>
    </row>
    <row r="791" spans="1:5" ht="14.25" customHeight="1">
      <c r="A791" s="1"/>
      <c r="B791" s="19"/>
      <c r="C791" s="4"/>
      <c r="D791" s="2"/>
      <c r="E791" s="4"/>
    </row>
    <row r="792" spans="1:5" ht="14.25" customHeight="1">
      <c r="A792" s="1"/>
      <c r="B792" s="19"/>
      <c r="C792" s="4"/>
      <c r="D792" s="2"/>
      <c r="E792" s="4"/>
    </row>
    <row r="793" spans="1:5" ht="14.25" customHeight="1">
      <c r="A793" s="1"/>
      <c r="B793" s="19"/>
      <c r="C793" s="4"/>
      <c r="D793" s="2"/>
      <c r="E793" s="4"/>
    </row>
    <row r="794" spans="1:5" ht="14.25" customHeight="1">
      <c r="A794" s="1"/>
      <c r="B794" s="19"/>
      <c r="C794" s="4"/>
      <c r="D794" s="2"/>
      <c r="E794" s="4"/>
    </row>
    <row r="795" spans="1:5" ht="14.25" customHeight="1">
      <c r="A795" s="1"/>
      <c r="B795" s="19"/>
      <c r="C795" s="4"/>
      <c r="D795" s="2"/>
      <c r="E795" s="4"/>
    </row>
    <row r="796" spans="1:5" ht="14.25" customHeight="1">
      <c r="A796" s="1"/>
      <c r="B796" s="19"/>
      <c r="C796" s="4"/>
      <c r="D796" s="2"/>
      <c r="E796" s="4"/>
    </row>
    <row r="797" spans="1:5" ht="14.25" customHeight="1">
      <c r="A797" s="1"/>
      <c r="B797" s="19"/>
      <c r="C797" s="4"/>
      <c r="D797" s="2"/>
      <c r="E797" s="4"/>
    </row>
    <row r="798" spans="1:5" ht="14.25" customHeight="1">
      <c r="A798" s="1"/>
      <c r="B798" s="19"/>
      <c r="C798" s="4"/>
      <c r="D798" s="2"/>
      <c r="E798" s="4"/>
    </row>
    <row r="799" spans="1:5" ht="14.25" customHeight="1">
      <c r="A799" s="1"/>
      <c r="B799" s="19"/>
      <c r="C799" s="4"/>
      <c r="D799" s="2"/>
      <c r="E799" s="4"/>
    </row>
    <row r="800" spans="1:5" ht="14.25" customHeight="1">
      <c r="A800" s="1"/>
      <c r="B800" s="19"/>
      <c r="C800" s="4"/>
      <c r="D800" s="2"/>
      <c r="E800" s="4"/>
    </row>
    <row r="801" spans="1:5" ht="14.25" customHeight="1">
      <c r="A801" s="1"/>
      <c r="B801" s="19"/>
      <c r="C801" s="4"/>
      <c r="D801" s="2"/>
      <c r="E801" s="4"/>
    </row>
    <row r="802" spans="1:5" ht="14.25" customHeight="1">
      <c r="A802" s="1"/>
      <c r="B802" s="19"/>
      <c r="C802" s="4"/>
      <c r="D802" s="2"/>
      <c r="E802" s="4"/>
    </row>
    <row r="803" spans="1:5" ht="14.25" customHeight="1">
      <c r="A803" s="1"/>
      <c r="B803" s="19"/>
      <c r="C803" s="4"/>
      <c r="D803" s="2"/>
      <c r="E803" s="4"/>
    </row>
    <row r="804" spans="1:5" ht="14.25" customHeight="1">
      <c r="A804" s="1"/>
      <c r="B804" s="19"/>
      <c r="C804" s="4"/>
      <c r="D804" s="2"/>
      <c r="E804" s="4"/>
    </row>
    <row r="805" spans="1:5" ht="14.25" customHeight="1">
      <c r="A805" s="1"/>
      <c r="B805" s="19"/>
      <c r="C805" s="4"/>
      <c r="D805" s="2"/>
      <c r="E805" s="4"/>
    </row>
    <row r="806" spans="1:5" ht="14.25" customHeight="1">
      <c r="A806" s="1"/>
      <c r="B806" s="19"/>
      <c r="C806" s="4"/>
      <c r="D806" s="2"/>
      <c r="E806" s="4"/>
    </row>
    <row r="807" spans="1:5" ht="14.25" customHeight="1">
      <c r="A807" s="1"/>
      <c r="B807" s="19"/>
      <c r="C807" s="4"/>
      <c r="D807" s="2"/>
      <c r="E807" s="4"/>
    </row>
    <row r="808" spans="1:5" ht="14.25" customHeight="1">
      <c r="A808" s="1"/>
      <c r="B808" s="19"/>
      <c r="C808" s="4"/>
      <c r="D808" s="2"/>
      <c r="E808" s="4"/>
    </row>
    <row r="809" spans="1:5" ht="14.25" customHeight="1">
      <c r="A809" s="1"/>
      <c r="B809" s="19"/>
      <c r="C809" s="4"/>
      <c r="D809" s="2"/>
      <c r="E809" s="4"/>
    </row>
    <row r="810" spans="1:5" ht="14.25" customHeight="1">
      <c r="A810" s="1"/>
      <c r="B810" s="19"/>
      <c r="C810" s="4"/>
      <c r="D810" s="2"/>
      <c r="E810" s="4"/>
    </row>
    <row r="811" spans="1:5" ht="14.25" customHeight="1">
      <c r="A811" s="1"/>
      <c r="B811" s="19"/>
      <c r="C811" s="4"/>
      <c r="D811" s="2"/>
      <c r="E811" s="4"/>
    </row>
    <row r="812" spans="1:5" ht="14.25" customHeight="1">
      <c r="A812" s="1"/>
      <c r="B812" s="19"/>
      <c r="C812" s="4"/>
      <c r="D812" s="2"/>
      <c r="E812" s="4"/>
    </row>
    <row r="813" spans="1:5" ht="14.25" customHeight="1">
      <c r="A813" s="1"/>
      <c r="B813" s="19"/>
      <c r="C813" s="4"/>
      <c r="D813" s="2"/>
      <c r="E813" s="4"/>
    </row>
    <row r="814" spans="1:5" ht="14.25" customHeight="1">
      <c r="A814" s="1"/>
      <c r="B814" s="19"/>
      <c r="C814" s="4"/>
      <c r="D814" s="2"/>
      <c r="E814" s="4"/>
    </row>
    <row r="815" spans="1:5" ht="14.25" customHeight="1">
      <c r="A815" s="1"/>
      <c r="B815" s="19"/>
      <c r="C815" s="4"/>
      <c r="D815" s="2"/>
      <c r="E815" s="4"/>
    </row>
    <row r="816" spans="1:5" ht="14.25" customHeight="1">
      <c r="A816" s="1"/>
      <c r="B816" s="19"/>
      <c r="C816" s="4"/>
      <c r="D816" s="2"/>
      <c r="E816" s="4"/>
    </row>
    <row r="817" spans="1:5" ht="14.25" customHeight="1">
      <c r="A817" s="1"/>
      <c r="B817" s="19"/>
      <c r="C817" s="4"/>
      <c r="D817" s="2"/>
      <c r="E817" s="4"/>
    </row>
    <row r="818" spans="1:5" ht="14.25" customHeight="1">
      <c r="A818" s="1"/>
      <c r="B818" s="19"/>
      <c r="C818" s="4"/>
      <c r="D818" s="2"/>
      <c r="E818" s="4"/>
    </row>
    <row r="819" spans="1:5" ht="14.25" customHeight="1">
      <c r="A819" s="1"/>
      <c r="B819" s="19"/>
      <c r="C819" s="4"/>
      <c r="D819" s="2"/>
      <c r="E819" s="4"/>
    </row>
    <row r="820" spans="1:5" ht="14.25" customHeight="1">
      <c r="A820" s="1"/>
      <c r="B820" s="19"/>
      <c r="C820" s="4"/>
      <c r="D820" s="2"/>
      <c r="E820" s="4"/>
    </row>
    <row r="821" spans="1:5" ht="14.25" customHeight="1">
      <c r="A821" s="1"/>
      <c r="B821" s="19"/>
      <c r="C821" s="4"/>
      <c r="D821" s="2"/>
      <c r="E821" s="4"/>
    </row>
    <row r="822" spans="1:5" ht="14.25" customHeight="1">
      <c r="A822" s="1"/>
      <c r="B822" s="19"/>
      <c r="C822" s="4"/>
      <c r="D822" s="2"/>
      <c r="E822" s="4"/>
    </row>
    <row r="823" spans="1:5" ht="14.25" customHeight="1">
      <c r="A823" s="1"/>
      <c r="B823" s="19"/>
      <c r="C823" s="4"/>
      <c r="D823" s="2"/>
      <c r="E823" s="4"/>
    </row>
    <row r="824" spans="1:5" ht="14.25" customHeight="1">
      <c r="A824" s="1"/>
      <c r="B824" s="19"/>
      <c r="C824" s="4"/>
      <c r="D824" s="2"/>
      <c r="E824" s="4"/>
    </row>
    <row r="825" spans="1:5" ht="14.25" customHeight="1">
      <c r="A825" s="1"/>
      <c r="B825" s="19"/>
      <c r="C825" s="4"/>
      <c r="D825" s="2"/>
      <c r="E825" s="4"/>
    </row>
    <row r="826" spans="1:5" ht="14.25" customHeight="1">
      <c r="A826" s="1"/>
      <c r="B826" s="19"/>
      <c r="C826" s="4"/>
      <c r="D826" s="2"/>
      <c r="E826" s="4"/>
    </row>
    <row r="827" spans="1:5" ht="14.25" customHeight="1">
      <c r="A827" s="1"/>
      <c r="B827" s="19"/>
      <c r="C827" s="4"/>
      <c r="D827" s="2"/>
      <c r="E827" s="4"/>
    </row>
    <row r="828" spans="1:5" ht="14.25" customHeight="1">
      <c r="A828" s="1"/>
      <c r="B828" s="19"/>
      <c r="C828" s="4"/>
      <c r="D828" s="2"/>
      <c r="E828" s="4"/>
    </row>
    <row r="829" spans="1:5" ht="14.25" customHeight="1">
      <c r="A829" s="1"/>
      <c r="B829" s="19"/>
      <c r="C829" s="4"/>
      <c r="D829" s="2"/>
      <c r="E829" s="4"/>
    </row>
    <row r="830" spans="1:5" ht="14.25" customHeight="1">
      <c r="A830" s="1"/>
      <c r="B830" s="19"/>
      <c r="C830" s="4"/>
      <c r="D830" s="2"/>
      <c r="E830" s="4"/>
    </row>
    <row r="831" spans="1:5" ht="14.25" customHeight="1">
      <c r="A831" s="1"/>
      <c r="B831" s="19"/>
      <c r="C831" s="4"/>
      <c r="D831" s="2"/>
      <c r="E831" s="4"/>
    </row>
    <row r="832" spans="1:5" ht="14.25" customHeight="1">
      <c r="A832" s="1"/>
      <c r="B832" s="19"/>
      <c r="C832" s="4"/>
      <c r="D832" s="2"/>
      <c r="E832" s="4"/>
    </row>
    <row r="833" spans="1:5" ht="14.25" customHeight="1">
      <c r="A833" s="1"/>
      <c r="B833" s="19"/>
      <c r="C833" s="4"/>
      <c r="D833" s="2"/>
      <c r="E833" s="4"/>
    </row>
    <row r="834" spans="1:5" ht="14.25" customHeight="1">
      <c r="A834" s="1"/>
      <c r="B834" s="19"/>
      <c r="C834" s="4"/>
      <c r="D834" s="2"/>
      <c r="E834" s="4"/>
    </row>
    <row r="835" spans="1:5" ht="14.25" customHeight="1">
      <c r="A835" s="1"/>
      <c r="B835" s="19"/>
      <c r="C835" s="4"/>
      <c r="D835" s="2"/>
      <c r="E835" s="4"/>
    </row>
    <row r="836" spans="1:5" ht="14.25" customHeight="1">
      <c r="A836" s="1"/>
      <c r="B836" s="19"/>
      <c r="C836" s="4"/>
      <c r="D836" s="2"/>
      <c r="E836" s="4"/>
    </row>
    <row r="837" spans="1:5" ht="14.25" customHeight="1">
      <c r="A837" s="1"/>
      <c r="B837" s="19"/>
      <c r="C837" s="4"/>
      <c r="D837" s="2"/>
      <c r="E837" s="4"/>
    </row>
    <row r="838" spans="1:5" ht="14.25" customHeight="1">
      <c r="A838" s="1"/>
      <c r="B838" s="19"/>
      <c r="C838" s="4"/>
      <c r="D838" s="2"/>
      <c r="E838" s="4"/>
    </row>
    <row r="839" spans="1:5" ht="14.25" customHeight="1">
      <c r="A839" s="1"/>
      <c r="B839" s="19"/>
      <c r="C839" s="4"/>
      <c r="D839" s="2"/>
      <c r="E839" s="4"/>
    </row>
    <row r="840" spans="1:5" ht="14.25" customHeight="1">
      <c r="A840" s="1"/>
      <c r="B840" s="19"/>
      <c r="C840" s="4"/>
      <c r="D840" s="2"/>
      <c r="E840" s="4"/>
    </row>
    <row r="841" spans="1:5" ht="14.25" customHeight="1">
      <c r="A841" s="1"/>
      <c r="B841" s="19"/>
      <c r="C841" s="4"/>
      <c r="D841" s="2"/>
      <c r="E841" s="4"/>
    </row>
    <row r="842" spans="1:5" ht="14.25" customHeight="1">
      <c r="A842" s="1"/>
      <c r="B842" s="19"/>
      <c r="C842" s="4"/>
      <c r="D842" s="2"/>
      <c r="E842" s="4"/>
    </row>
    <row r="843" spans="1:5" ht="14.25" customHeight="1">
      <c r="A843" s="1"/>
      <c r="B843" s="19"/>
      <c r="C843" s="4"/>
      <c r="D843" s="2"/>
      <c r="E843" s="4"/>
    </row>
    <row r="844" spans="1:5" ht="14.25" customHeight="1">
      <c r="A844" s="1"/>
      <c r="B844" s="19"/>
      <c r="C844" s="4"/>
      <c r="D844" s="2"/>
      <c r="E844" s="4"/>
    </row>
    <row r="845" spans="1:5" ht="14.25" customHeight="1">
      <c r="A845" s="1"/>
      <c r="B845" s="19"/>
      <c r="C845" s="4"/>
      <c r="D845" s="2"/>
      <c r="E845" s="4"/>
    </row>
    <row r="846" spans="1:5" ht="14.25" customHeight="1">
      <c r="A846" s="1"/>
      <c r="B846" s="19"/>
      <c r="C846" s="4"/>
      <c r="D846" s="2"/>
      <c r="E846" s="4"/>
    </row>
    <row r="847" spans="1:5" ht="14.25" customHeight="1">
      <c r="A847" s="1"/>
      <c r="B847" s="19"/>
      <c r="C847" s="4"/>
      <c r="D847" s="2"/>
      <c r="E847" s="4"/>
    </row>
    <row r="848" spans="1:5" ht="14.25" customHeight="1">
      <c r="A848" s="1"/>
      <c r="B848" s="19"/>
      <c r="C848" s="4"/>
      <c r="D848" s="2"/>
      <c r="E848" s="4"/>
    </row>
    <row r="849" spans="1:5" ht="14.25" customHeight="1">
      <c r="A849" s="1"/>
      <c r="B849" s="19"/>
      <c r="C849" s="4"/>
      <c r="D849" s="2"/>
      <c r="E849" s="4"/>
    </row>
    <row r="850" spans="1:5" ht="14.25" customHeight="1">
      <c r="A850" s="1"/>
      <c r="B850" s="19"/>
      <c r="C850" s="4"/>
      <c r="D850" s="2"/>
      <c r="E850" s="4"/>
    </row>
    <row r="851" spans="1:5" ht="14.25" customHeight="1">
      <c r="A851" s="1"/>
      <c r="B851" s="19"/>
      <c r="C851" s="4"/>
      <c r="D851" s="2"/>
      <c r="E851" s="4"/>
    </row>
    <row r="852" spans="1:5" ht="14.25" customHeight="1">
      <c r="A852" s="1"/>
      <c r="B852" s="19"/>
      <c r="C852" s="4"/>
      <c r="D852" s="2"/>
      <c r="E852" s="4"/>
    </row>
    <row r="853" spans="1:5" ht="14.25" customHeight="1">
      <c r="A853" s="1"/>
      <c r="B853" s="19"/>
      <c r="C853" s="4"/>
      <c r="D853" s="2"/>
      <c r="E853" s="4"/>
    </row>
    <row r="854" spans="1:5" ht="14.25" customHeight="1">
      <c r="A854" s="1"/>
      <c r="B854" s="19"/>
      <c r="C854" s="4"/>
      <c r="D854" s="2"/>
      <c r="E854" s="4"/>
    </row>
    <row r="855" spans="1:5" ht="14.25" customHeight="1">
      <c r="A855" s="1"/>
      <c r="B855" s="19"/>
      <c r="C855" s="4"/>
      <c r="D855" s="2"/>
      <c r="E855" s="4"/>
    </row>
    <row r="856" spans="1:5" ht="14.25" customHeight="1">
      <c r="A856" s="1"/>
      <c r="B856" s="19"/>
      <c r="C856" s="4"/>
      <c r="D856" s="2"/>
      <c r="E856" s="4"/>
    </row>
    <row r="857" spans="1:5" ht="14.25" customHeight="1">
      <c r="A857" s="1"/>
      <c r="B857" s="19"/>
      <c r="C857" s="4"/>
      <c r="D857" s="2"/>
      <c r="E857" s="4"/>
    </row>
    <row r="858" spans="1:5" ht="14.25" customHeight="1">
      <c r="A858" s="1"/>
      <c r="B858" s="19"/>
      <c r="C858" s="4"/>
      <c r="D858" s="2"/>
      <c r="E858" s="4"/>
    </row>
    <row r="859" spans="1:5" ht="14.25" customHeight="1">
      <c r="A859" s="1"/>
      <c r="B859" s="19"/>
      <c r="C859" s="4"/>
      <c r="D859" s="2"/>
      <c r="E859" s="4"/>
    </row>
    <row r="860" spans="1:5" ht="14.25" customHeight="1">
      <c r="A860" s="1"/>
      <c r="B860" s="19"/>
      <c r="C860" s="4"/>
      <c r="D860" s="2"/>
      <c r="E860" s="4"/>
    </row>
    <row r="861" spans="1:5" ht="15" customHeight="1">
      <c r="A861" s="1"/>
      <c r="B861" s="19"/>
      <c r="C861" s="4"/>
      <c r="D861" s="2"/>
      <c r="E861" s="4"/>
    </row>
  </sheetData>
  <hyperlinks>
    <hyperlink ref="F3" r:id="rId1" xr:uid="{5A340B09-560A-40D4-AF65-ACA39737EE39}"/>
    <hyperlink ref="F8" r:id="rId2" xr:uid="{82FA8992-F529-4594-9E2D-541DE5D1FE32}"/>
    <hyperlink ref="F15" r:id="rId3" xr:uid="{7085A4D6-24FC-4DFF-AEBF-52E07EA62D77}"/>
    <hyperlink ref="F4" r:id="rId4" xr:uid="{9A03BD15-1BBF-483C-B439-E9A9BCB78989}"/>
    <hyperlink ref="F18" r:id="rId5" xr:uid="{2A08DC31-523D-48DB-9D1F-8C4E1B1154FC}"/>
    <hyperlink ref="F19" r:id="rId6" xr:uid="{931CAC3C-A9C0-4E26-8246-A71CE526BD1A}"/>
    <hyperlink ref="F21" r:id="rId7" xr:uid="{A82FE175-FD47-4BEB-BB1A-C9027AD71741}"/>
    <hyperlink ref="F23" r:id="rId8" xr:uid="{DD92414D-0A3D-4A5B-B3CD-F9326F25E0D0}"/>
    <hyperlink ref="F26" r:id="rId9" xr:uid="{90A99F4D-D65C-473C-9630-AD372B4B8EAA}"/>
    <hyperlink ref="F27" r:id="rId10" xr:uid="{16611BC8-89FB-42C1-9919-32A7A35BF9E9}"/>
    <hyperlink ref="F28" r:id="rId11" xr:uid="{06D2FBBF-E93D-458E-BC94-CFE729C8590B}"/>
    <hyperlink ref="F29" r:id="rId12" xr:uid="{5CC20869-CD53-4721-8C0F-BED00A35D177}"/>
    <hyperlink ref="F31" r:id="rId13" xr:uid="{227BC871-D121-46AD-A99D-818B77D0C6F9}"/>
    <hyperlink ref="F40" r:id="rId14" xr:uid="{DB95BECA-D1D2-4542-A331-6E62FAF79BD5}"/>
    <hyperlink ref="F37" r:id="rId15" xr:uid="{19D96E51-FA0D-4830-8A84-165CDE39215B}"/>
    <hyperlink ref="F36" r:id="rId16" xr:uid="{D1044CB2-11B9-4031-A886-8F9EB3F2507B}"/>
    <hyperlink ref="F30" r:id="rId17" xr:uid="{1A05EC50-CB44-4123-BBA8-02796BF3FB1C}"/>
    <hyperlink ref="F17" r:id="rId18" xr:uid="{D4482721-224E-45A6-B0C6-974B52821DD1}"/>
  </hyperlinks>
  <pageMargins left="0.7" right="0.7" top="0.75" bottom="0.75" header="0" footer="0"/>
  <pageSetup paperSize="9" orientation="portrait" r:id="rId19"/>
  <tableParts count="1">
    <tablePart r:id="rId20"/>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K949"/>
  <sheetViews>
    <sheetView tabSelected="1" topLeftCell="A49" zoomScale="80" zoomScaleNormal="80" workbookViewId="0">
      <selection activeCell="C53" sqref="C53"/>
    </sheetView>
  </sheetViews>
  <sheetFormatPr defaultColWidth="12.59765625" defaultRowHeight="15" customHeight="1"/>
  <cols>
    <col min="1" max="1" width="9" style="11" customWidth="1"/>
    <col min="2" max="2" width="16.59765625" style="170" bestFit="1" customWidth="1"/>
    <col min="3" max="3" width="43.69921875" style="18" customWidth="1"/>
    <col min="4" max="4" width="30.296875" style="11" customWidth="1"/>
    <col min="5" max="5" width="53" style="18" customWidth="1"/>
    <col min="6" max="6" width="16" style="43" customWidth="1"/>
    <col min="7" max="7" width="21.8984375" style="18" customWidth="1"/>
    <col min="8" max="8" width="21.69921875" style="18" customWidth="1"/>
    <col min="9" max="9" width="9.69921875" style="18" customWidth="1"/>
    <col min="10" max="10" width="50.19921875" style="23" customWidth="1"/>
    <col min="11" max="11" width="23.796875" style="48" bestFit="1" customWidth="1"/>
    <col min="12" max="13" width="27.5" style="48" customWidth="1"/>
    <col min="14" max="25" width="8.59765625" style="46" customWidth="1"/>
    <col min="26" max="114" width="12.59765625" style="46"/>
    <col min="115" max="16384" width="12.59765625" style="18"/>
  </cols>
  <sheetData>
    <row r="1" spans="1:115" ht="14.25" customHeight="1">
      <c r="A1" s="40"/>
      <c r="B1" s="40"/>
      <c r="C1" s="15"/>
      <c r="D1" s="28"/>
      <c r="E1" s="15"/>
      <c r="F1" s="41"/>
    </row>
    <row r="2" spans="1:115" ht="22.8" customHeight="1">
      <c r="A2" s="44" t="s">
        <v>0</v>
      </c>
      <c r="B2" s="44" t="s">
        <v>690</v>
      </c>
      <c r="C2" s="45" t="s">
        <v>1</v>
      </c>
      <c r="D2" s="45" t="s">
        <v>2</v>
      </c>
      <c r="E2" s="45" t="s">
        <v>3</v>
      </c>
      <c r="F2" s="45" t="s">
        <v>4</v>
      </c>
      <c r="G2" s="49" t="s">
        <v>549</v>
      </c>
      <c r="H2" s="87" t="s">
        <v>22</v>
      </c>
      <c r="I2" s="50" t="s">
        <v>527</v>
      </c>
      <c r="J2" s="131" t="s">
        <v>5</v>
      </c>
      <c r="K2" s="131" t="s">
        <v>550</v>
      </c>
      <c r="L2" s="50" t="s">
        <v>21</v>
      </c>
      <c r="M2" s="50" t="s">
        <v>689</v>
      </c>
      <c r="N2" s="48"/>
      <c r="DK2" s="46"/>
    </row>
    <row r="3" spans="1:115" ht="35.25" customHeight="1">
      <c r="A3" s="74">
        <v>1</v>
      </c>
      <c r="B3" s="198"/>
      <c r="C3" s="53" t="s">
        <v>158</v>
      </c>
      <c r="D3" s="36" t="s">
        <v>159</v>
      </c>
      <c r="E3" s="52" t="s">
        <v>160</v>
      </c>
      <c r="F3" s="75" t="s">
        <v>7</v>
      </c>
      <c r="G3" s="76" t="s">
        <v>609</v>
      </c>
      <c r="H3" s="165" t="s">
        <v>14</v>
      </c>
      <c r="I3" s="63">
        <v>1</v>
      </c>
      <c r="J3" s="132"/>
      <c r="K3" s="132"/>
      <c r="L3" s="55" t="s">
        <v>553</v>
      </c>
      <c r="M3" s="55"/>
      <c r="N3" s="48"/>
      <c r="DK3" s="46"/>
    </row>
    <row r="4" spans="1:115" ht="198" customHeight="1">
      <c r="A4" s="74">
        <f t="shared" ref="A4:A41" si="0">A3+1</f>
        <v>2</v>
      </c>
      <c r="B4" s="198"/>
      <c r="C4" s="53" t="s">
        <v>6</v>
      </c>
      <c r="D4" s="36" t="s">
        <v>161</v>
      </c>
      <c r="E4" s="52" t="s">
        <v>162</v>
      </c>
      <c r="F4" s="75" t="s">
        <v>7</v>
      </c>
      <c r="G4" s="76" t="s">
        <v>610</v>
      </c>
      <c r="H4" s="165" t="s">
        <v>14</v>
      </c>
      <c r="I4" s="63">
        <v>1</v>
      </c>
      <c r="J4" s="133"/>
      <c r="K4" s="133"/>
      <c r="L4" s="54" t="s">
        <v>553</v>
      </c>
      <c r="M4" s="54"/>
      <c r="N4" s="48"/>
      <c r="DK4" s="46"/>
    </row>
    <row r="5" spans="1:115" ht="198" customHeight="1">
      <c r="A5" s="191"/>
      <c r="B5" s="198" t="s">
        <v>693</v>
      </c>
      <c r="C5" s="194" t="s">
        <v>692</v>
      </c>
      <c r="D5" s="199" t="s">
        <v>691</v>
      </c>
      <c r="E5" s="194" t="s">
        <v>694</v>
      </c>
      <c r="F5" s="192"/>
      <c r="G5" s="195"/>
      <c r="H5" s="196"/>
      <c r="I5" s="196"/>
      <c r="J5" s="138"/>
      <c r="K5" s="174"/>
      <c r="L5" s="197"/>
      <c r="M5" s="197"/>
      <c r="N5" s="48"/>
      <c r="DK5" s="46"/>
    </row>
    <row r="6" spans="1:115" ht="110.4">
      <c r="A6" s="74">
        <f>A4+1</f>
        <v>3</v>
      </c>
      <c r="B6" s="198" t="s">
        <v>695</v>
      </c>
      <c r="C6" s="53" t="s">
        <v>163</v>
      </c>
      <c r="D6" s="36" t="s">
        <v>164</v>
      </c>
      <c r="E6" s="53" t="s">
        <v>163</v>
      </c>
      <c r="F6" s="75" t="s">
        <v>7</v>
      </c>
      <c r="G6" s="94" t="s">
        <v>611</v>
      </c>
      <c r="H6" s="165" t="s">
        <v>14</v>
      </c>
      <c r="I6" s="63">
        <v>1</v>
      </c>
      <c r="J6" s="135" t="s">
        <v>569</v>
      </c>
      <c r="K6" s="135"/>
      <c r="L6" s="54" t="s">
        <v>530</v>
      </c>
      <c r="M6" s="54"/>
      <c r="N6" s="48"/>
      <c r="DK6" s="46"/>
    </row>
    <row r="7" spans="1:115" ht="30.75" customHeight="1">
      <c r="A7" s="74">
        <f t="shared" si="0"/>
        <v>4</v>
      </c>
      <c r="B7" s="198" t="s">
        <v>695</v>
      </c>
      <c r="C7" s="53" t="s">
        <v>165</v>
      </c>
      <c r="D7" s="36" t="s">
        <v>166</v>
      </c>
      <c r="E7" s="52" t="s">
        <v>167</v>
      </c>
      <c r="F7" s="75" t="s">
        <v>10</v>
      </c>
      <c r="G7" s="90"/>
      <c r="H7" s="165" t="s">
        <v>14</v>
      </c>
      <c r="I7" s="63">
        <v>1</v>
      </c>
      <c r="J7" s="135" t="s">
        <v>569</v>
      </c>
      <c r="K7" s="135"/>
      <c r="L7" s="54" t="s">
        <v>632</v>
      </c>
      <c r="M7" s="54"/>
      <c r="N7" s="48"/>
      <c r="DK7" s="46"/>
    </row>
    <row r="8" spans="1:115" ht="28.5" customHeight="1">
      <c r="A8" s="74">
        <f t="shared" si="0"/>
        <v>5</v>
      </c>
      <c r="B8" s="198" t="s">
        <v>695</v>
      </c>
      <c r="C8" s="53" t="s">
        <v>168</v>
      </c>
      <c r="D8" s="36" t="s">
        <v>169</v>
      </c>
      <c r="E8" s="52" t="s">
        <v>170</v>
      </c>
      <c r="F8" s="75" t="s">
        <v>7</v>
      </c>
      <c r="G8" s="76" t="s">
        <v>612</v>
      </c>
      <c r="H8" s="165" t="s">
        <v>14</v>
      </c>
      <c r="I8" s="63">
        <v>1</v>
      </c>
      <c r="J8" s="135" t="s">
        <v>569</v>
      </c>
      <c r="K8" s="135"/>
      <c r="L8" s="54" t="s">
        <v>583</v>
      </c>
      <c r="M8" s="54"/>
      <c r="N8" s="48"/>
      <c r="DK8" s="46"/>
    </row>
    <row r="9" spans="1:115" ht="30.75" customHeight="1">
      <c r="A9" s="74">
        <f t="shared" si="0"/>
        <v>6</v>
      </c>
      <c r="B9" s="198" t="s">
        <v>695</v>
      </c>
      <c r="C9" s="52" t="s">
        <v>41</v>
      </c>
      <c r="D9" s="36" t="s">
        <v>171</v>
      </c>
      <c r="E9" s="52" t="s">
        <v>172</v>
      </c>
      <c r="F9" s="75" t="s">
        <v>10</v>
      </c>
      <c r="G9" s="91"/>
      <c r="H9" s="165" t="s">
        <v>14</v>
      </c>
      <c r="I9" s="63">
        <v>1</v>
      </c>
      <c r="J9" s="85" t="s">
        <v>532</v>
      </c>
      <c r="K9" s="85"/>
      <c r="L9" s="54" t="s">
        <v>632</v>
      </c>
      <c r="M9" s="54"/>
      <c r="N9" s="48"/>
      <c r="DK9" s="46"/>
    </row>
    <row r="10" spans="1:115" ht="30.75" customHeight="1">
      <c r="A10" s="74">
        <f t="shared" si="0"/>
        <v>7</v>
      </c>
      <c r="B10" s="198" t="s">
        <v>695</v>
      </c>
      <c r="C10" s="53" t="s">
        <v>173</v>
      </c>
      <c r="D10" s="36" t="s">
        <v>174</v>
      </c>
      <c r="E10" s="52" t="s">
        <v>175</v>
      </c>
      <c r="F10" s="75" t="s">
        <v>10</v>
      </c>
      <c r="G10" s="90"/>
      <c r="H10" s="166" t="s">
        <v>529</v>
      </c>
      <c r="I10" s="97"/>
      <c r="J10" s="133"/>
      <c r="K10" s="133"/>
      <c r="L10" s="54"/>
      <c r="M10" s="54"/>
      <c r="N10" s="48"/>
      <c r="DK10" s="46"/>
    </row>
    <row r="11" spans="1:115" ht="36" customHeight="1">
      <c r="A11" s="74">
        <f t="shared" si="0"/>
        <v>8</v>
      </c>
      <c r="B11" s="198" t="s">
        <v>695</v>
      </c>
      <c r="C11" s="53" t="s">
        <v>176</v>
      </c>
      <c r="D11" s="36" t="s">
        <v>177</v>
      </c>
      <c r="E11" s="52" t="s">
        <v>178</v>
      </c>
      <c r="F11" s="75" t="s">
        <v>7</v>
      </c>
      <c r="G11" s="76"/>
      <c r="H11" s="165" t="s">
        <v>14</v>
      </c>
      <c r="I11" s="63">
        <v>1</v>
      </c>
      <c r="J11" s="135" t="s">
        <v>570</v>
      </c>
      <c r="K11" s="135"/>
      <c r="L11" s="54" t="s">
        <v>633</v>
      </c>
      <c r="M11" s="54"/>
      <c r="N11" s="48"/>
      <c r="DK11" s="46"/>
    </row>
    <row r="12" spans="1:115" ht="94.5" customHeight="1">
      <c r="A12" s="74">
        <f t="shared" si="0"/>
        <v>9</v>
      </c>
      <c r="B12" s="198" t="s">
        <v>695</v>
      </c>
      <c r="C12" s="53" t="s">
        <v>179</v>
      </c>
      <c r="D12" s="36" t="s">
        <v>180</v>
      </c>
      <c r="E12" s="52" t="s">
        <v>181</v>
      </c>
      <c r="F12" s="75" t="s">
        <v>10</v>
      </c>
      <c r="G12" s="90"/>
      <c r="H12" s="165" t="s">
        <v>529</v>
      </c>
      <c r="I12" s="63"/>
      <c r="J12" s="133"/>
      <c r="K12" s="133"/>
      <c r="L12" s="54"/>
      <c r="M12" s="54"/>
      <c r="N12" s="48"/>
      <c r="DK12" s="46"/>
    </row>
    <row r="13" spans="1:115" ht="27.6">
      <c r="A13" s="74">
        <f t="shared" si="0"/>
        <v>10</v>
      </c>
      <c r="B13" s="198" t="s">
        <v>695</v>
      </c>
      <c r="C13" s="53" t="s">
        <v>179</v>
      </c>
      <c r="D13" s="36" t="s">
        <v>180</v>
      </c>
      <c r="E13" s="53" t="s">
        <v>182</v>
      </c>
      <c r="F13" s="75" t="s">
        <v>10</v>
      </c>
      <c r="G13" s="90"/>
      <c r="H13" s="165" t="s">
        <v>529</v>
      </c>
      <c r="I13" s="63"/>
      <c r="J13" s="133"/>
      <c r="K13" s="133"/>
      <c r="L13" s="54"/>
      <c r="M13" s="54"/>
      <c r="N13" s="48"/>
      <c r="DK13" s="46"/>
    </row>
    <row r="14" spans="1:115" ht="27.6">
      <c r="A14" s="74">
        <f t="shared" si="0"/>
        <v>11</v>
      </c>
      <c r="B14" s="198"/>
      <c r="C14" s="53" t="s">
        <v>183</v>
      </c>
      <c r="D14" s="36" t="s">
        <v>184</v>
      </c>
      <c r="E14" s="53" t="s">
        <v>185</v>
      </c>
      <c r="F14" s="75" t="s">
        <v>7</v>
      </c>
      <c r="G14" s="92"/>
      <c r="H14" s="165" t="s">
        <v>14</v>
      </c>
      <c r="I14" s="63">
        <v>1</v>
      </c>
      <c r="J14" s="125" t="s">
        <v>547</v>
      </c>
      <c r="K14" s="125"/>
      <c r="L14" s="54" t="s">
        <v>634</v>
      </c>
      <c r="M14" s="54"/>
      <c r="N14" s="48"/>
      <c r="DK14" s="46"/>
    </row>
    <row r="15" spans="1:115" ht="46.8" customHeight="1">
      <c r="A15" s="74">
        <f t="shared" si="0"/>
        <v>12</v>
      </c>
      <c r="B15" s="198"/>
      <c r="C15" s="53" t="s">
        <v>23</v>
      </c>
      <c r="D15" s="36" t="s">
        <v>186</v>
      </c>
      <c r="E15" s="53" t="s">
        <v>78</v>
      </c>
      <c r="F15" s="75" t="s">
        <v>7</v>
      </c>
      <c r="G15" s="93"/>
      <c r="H15" s="165" t="s">
        <v>79</v>
      </c>
      <c r="I15" s="65">
        <v>0.5</v>
      </c>
      <c r="J15" s="66" t="s">
        <v>157</v>
      </c>
      <c r="K15" s="133"/>
      <c r="L15" s="54" t="s">
        <v>554</v>
      </c>
      <c r="M15" s="54"/>
      <c r="N15" s="48"/>
      <c r="DK15" s="46"/>
    </row>
    <row r="16" spans="1:115" ht="14.25" customHeight="1">
      <c r="A16" s="190">
        <f t="shared" si="0"/>
        <v>13</v>
      </c>
      <c r="B16" s="212"/>
      <c r="C16" s="83" t="s">
        <v>187</v>
      </c>
      <c r="D16" s="61" t="s">
        <v>188</v>
      </c>
      <c r="E16" s="118" t="s">
        <v>189</v>
      </c>
      <c r="F16" s="201" t="s">
        <v>10</v>
      </c>
      <c r="G16" s="90"/>
      <c r="H16" s="165" t="s">
        <v>529</v>
      </c>
      <c r="I16" s="63"/>
      <c r="J16" s="133"/>
      <c r="K16" s="133"/>
      <c r="L16" s="54"/>
      <c r="M16" s="54"/>
      <c r="N16" s="48"/>
      <c r="DK16" s="46"/>
    </row>
    <row r="17" spans="1:115" ht="14.25" customHeight="1">
      <c r="A17" s="206"/>
      <c r="B17" s="208" t="s">
        <v>696</v>
      </c>
      <c r="C17" s="210" t="s">
        <v>697</v>
      </c>
      <c r="D17" s="209" t="s">
        <v>699</v>
      </c>
      <c r="E17" s="207" t="s">
        <v>698</v>
      </c>
      <c r="F17" s="207"/>
      <c r="G17" s="200"/>
      <c r="H17" s="196"/>
      <c r="I17" s="196"/>
      <c r="J17" s="138" t="s">
        <v>700</v>
      </c>
      <c r="K17" s="174"/>
      <c r="L17" s="197"/>
      <c r="M17" s="197"/>
      <c r="N17" s="48"/>
      <c r="DK17" s="46"/>
    </row>
    <row r="18" spans="1:115" ht="55.2">
      <c r="A18" s="202">
        <f>A16+1</f>
        <v>14</v>
      </c>
      <c r="B18" s="213"/>
      <c r="C18" s="203" t="s">
        <v>47</v>
      </c>
      <c r="D18" s="64" t="s">
        <v>190</v>
      </c>
      <c r="E18" s="204" t="s">
        <v>191</v>
      </c>
      <c r="F18" s="205" t="s">
        <v>7</v>
      </c>
      <c r="G18" s="93"/>
      <c r="H18" s="164" t="s">
        <v>79</v>
      </c>
      <c r="I18" s="97">
        <v>0.5</v>
      </c>
      <c r="J18" s="135" t="s">
        <v>572</v>
      </c>
      <c r="K18" s="135" t="s">
        <v>573</v>
      </c>
      <c r="L18" s="54" t="s">
        <v>553</v>
      </c>
      <c r="M18" s="54"/>
      <c r="N18" s="48"/>
      <c r="DK18" s="46"/>
    </row>
    <row r="19" spans="1:115" ht="41.4">
      <c r="A19" s="191"/>
      <c r="B19" s="208" t="s">
        <v>696</v>
      </c>
      <c r="C19" s="194" t="s">
        <v>702</v>
      </c>
      <c r="D19" s="193" t="s">
        <v>701</v>
      </c>
      <c r="E19" s="194" t="s">
        <v>703</v>
      </c>
      <c r="F19" s="192"/>
      <c r="G19" s="211"/>
      <c r="H19" s="58"/>
      <c r="I19" s="98"/>
      <c r="J19" s="138"/>
      <c r="K19" s="174"/>
      <c r="L19" s="197"/>
      <c r="M19" s="197"/>
      <c r="N19" s="48"/>
      <c r="DK19" s="46"/>
    </row>
    <row r="20" spans="1:115" ht="28.2" customHeight="1">
      <c r="A20" s="74">
        <f>A18+1</f>
        <v>15</v>
      </c>
      <c r="B20" s="198"/>
      <c r="C20" s="52" t="s">
        <v>192</v>
      </c>
      <c r="D20" s="36" t="s">
        <v>193</v>
      </c>
      <c r="E20" s="53" t="s">
        <v>194</v>
      </c>
      <c r="F20" s="75" t="s">
        <v>10</v>
      </c>
      <c r="G20" s="76"/>
      <c r="H20" s="165" t="s">
        <v>14</v>
      </c>
      <c r="I20" s="63">
        <v>1</v>
      </c>
      <c r="J20" s="135" t="s">
        <v>571</v>
      </c>
      <c r="K20" s="135"/>
      <c r="L20" s="54" t="s">
        <v>635</v>
      </c>
      <c r="M20" s="54"/>
      <c r="N20" s="48"/>
      <c r="DK20" s="46"/>
    </row>
    <row r="21" spans="1:115" ht="30.75" customHeight="1">
      <c r="A21" s="74">
        <f t="shared" si="0"/>
        <v>16</v>
      </c>
      <c r="B21" s="198"/>
      <c r="C21" s="53" t="s">
        <v>48</v>
      </c>
      <c r="D21" s="36" t="s">
        <v>195</v>
      </c>
      <c r="E21" s="52" t="s">
        <v>196</v>
      </c>
      <c r="F21" s="75" t="s">
        <v>10</v>
      </c>
      <c r="G21" s="90"/>
      <c r="H21" s="164" t="s">
        <v>79</v>
      </c>
      <c r="I21" s="97">
        <v>0.3</v>
      </c>
      <c r="J21" s="125" t="s">
        <v>544</v>
      </c>
      <c r="K21" s="135" t="s">
        <v>574</v>
      </c>
      <c r="L21" s="54" t="s">
        <v>543</v>
      </c>
      <c r="M21" s="54"/>
      <c r="N21" s="48"/>
      <c r="DK21" s="46"/>
    </row>
    <row r="22" spans="1:115" ht="32.25" customHeight="1">
      <c r="A22" s="74">
        <f t="shared" si="0"/>
        <v>17</v>
      </c>
      <c r="B22" s="198"/>
      <c r="C22" s="53" t="s">
        <v>197</v>
      </c>
      <c r="D22" s="36" t="s">
        <v>198</v>
      </c>
      <c r="E22" s="53" t="s">
        <v>199</v>
      </c>
      <c r="F22" s="75" t="s">
        <v>10</v>
      </c>
      <c r="G22" s="90"/>
      <c r="H22" s="164" t="s">
        <v>529</v>
      </c>
      <c r="I22" s="97"/>
      <c r="J22" s="133"/>
      <c r="K22" s="133"/>
      <c r="L22" s="54"/>
      <c r="M22" s="54"/>
      <c r="N22" s="48"/>
      <c r="DK22" s="46"/>
    </row>
    <row r="23" spans="1:115" ht="38.25" customHeight="1">
      <c r="A23" s="74">
        <f t="shared" si="0"/>
        <v>18</v>
      </c>
      <c r="B23" s="198"/>
      <c r="C23" s="53" t="s">
        <v>200</v>
      </c>
      <c r="D23" s="36" t="s">
        <v>201</v>
      </c>
      <c r="E23" s="52" t="s">
        <v>202</v>
      </c>
      <c r="F23" s="75" t="s">
        <v>7</v>
      </c>
      <c r="G23" s="76"/>
      <c r="H23" s="165" t="s">
        <v>14</v>
      </c>
      <c r="I23" s="63">
        <v>1</v>
      </c>
      <c r="J23" s="135" t="s">
        <v>575</v>
      </c>
      <c r="K23" s="133"/>
      <c r="L23" s="54" t="s">
        <v>530</v>
      </c>
      <c r="M23" s="54"/>
      <c r="N23" s="48"/>
      <c r="DK23" s="46"/>
    </row>
    <row r="24" spans="1:115" ht="38.25" customHeight="1">
      <c r="A24" s="191"/>
      <c r="B24" s="198" t="s">
        <v>707</v>
      </c>
      <c r="C24" s="192" t="s">
        <v>704</v>
      </c>
      <c r="D24" s="193" t="s">
        <v>705</v>
      </c>
      <c r="E24" s="194" t="s">
        <v>706</v>
      </c>
      <c r="F24" s="192"/>
      <c r="G24" s="195"/>
      <c r="H24" s="196"/>
      <c r="I24" s="196"/>
      <c r="J24" s="138"/>
      <c r="K24" s="174"/>
      <c r="L24" s="197"/>
      <c r="M24" s="197"/>
      <c r="N24" s="48"/>
      <c r="DK24" s="46"/>
    </row>
    <row r="25" spans="1:115" ht="23.25" customHeight="1">
      <c r="A25" s="74">
        <f>A23+1</f>
        <v>19</v>
      </c>
      <c r="B25" s="198"/>
      <c r="C25" s="53" t="s">
        <v>203</v>
      </c>
      <c r="D25" s="36" t="s">
        <v>204</v>
      </c>
      <c r="E25" s="53" t="s">
        <v>203</v>
      </c>
      <c r="F25" s="75" t="s">
        <v>7</v>
      </c>
      <c r="G25" s="76"/>
      <c r="H25" s="165" t="s">
        <v>14</v>
      </c>
      <c r="I25" s="63">
        <v>1</v>
      </c>
      <c r="J25" s="133"/>
      <c r="K25" s="133"/>
      <c r="L25" s="54" t="s">
        <v>636</v>
      </c>
      <c r="M25" s="54"/>
      <c r="N25" s="48"/>
      <c r="DK25" s="46"/>
    </row>
    <row r="26" spans="1:115" ht="50.25" customHeight="1">
      <c r="A26" s="74">
        <f t="shared" si="0"/>
        <v>20</v>
      </c>
      <c r="B26" s="198"/>
      <c r="C26" s="53" t="s">
        <v>205</v>
      </c>
      <c r="D26" s="36" t="s">
        <v>206</v>
      </c>
      <c r="E26" s="52" t="s">
        <v>207</v>
      </c>
      <c r="F26" s="86" t="s">
        <v>7</v>
      </c>
      <c r="G26" s="94"/>
      <c r="H26" s="165" t="s">
        <v>14</v>
      </c>
      <c r="I26" s="63">
        <v>1</v>
      </c>
      <c r="J26" s="133"/>
      <c r="K26" s="133"/>
      <c r="L26" s="54" t="s">
        <v>636</v>
      </c>
      <c r="M26" s="54"/>
      <c r="N26" s="48"/>
      <c r="DK26" s="46"/>
    </row>
    <row r="27" spans="1:115" ht="50.25" customHeight="1">
      <c r="A27" s="191"/>
      <c r="B27" s="198" t="s">
        <v>707</v>
      </c>
      <c r="C27" s="192" t="s">
        <v>708</v>
      </c>
      <c r="D27" s="193" t="s">
        <v>709</v>
      </c>
      <c r="E27" s="194" t="s">
        <v>710</v>
      </c>
      <c r="F27" s="194"/>
      <c r="G27" s="211"/>
      <c r="H27" s="196"/>
      <c r="I27" s="196"/>
      <c r="J27" s="138"/>
      <c r="K27" s="174"/>
      <c r="L27" s="197"/>
      <c r="M27" s="197"/>
      <c r="N27" s="48"/>
      <c r="DK27" s="46"/>
    </row>
    <row r="28" spans="1:115" ht="47.25" customHeight="1">
      <c r="A28" s="74">
        <f>A26+1</f>
        <v>21</v>
      </c>
      <c r="B28" s="198"/>
      <c r="C28" s="53" t="s">
        <v>49</v>
      </c>
      <c r="D28" s="36" t="s">
        <v>208</v>
      </c>
      <c r="E28" s="52" t="s">
        <v>209</v>
      </c>
      <c r="F28" s="75" t="s">
        <v>7</v>
      </c>
      <c r="G28" s="94"/>
      <c r="H28" s="165" t="s">
        <v>14</v>
      </c>
      <c r="I28" s="63">
        <v>1</v>
      </c>
      <c r="J28" s="133"/>
      <c r="K28" s="133"/>
      <c r="L28" s="54" t="s">
        <v>637</v>
      </c>
      <c r="M28" s="54"/>
      <c r="N28" s="48"/>
      <c r="DK28" s="46"/>
    </row>
    <row r="29" spans="1:115" ht="91.2" customHeight="1">
      <c r="A29" s="74">
        <f t="shared" si="0"/>
        <v>22</v>
      </c>
      <c r="B29" s="198"/>
      <c r="C29" s="53" t="s">
        <v>49</v>
      </c>
      <c r="D29" s="36" t="s">
        <v>208</v>
      </c>
      <c r="E29" s="52" t="s">
        <v>210</v>
      </c>
      <c r="F29" s="75" t="s">
        <v>7</v>
      </c>
      <c r="G29" s="76"/>
      <c r="H29" s="165" t="s">
        <v>14</v>
      </c>
      <c r="I29" s="63">
        <v>1</v>
      </c>
      <c r="J29" s="133"/>
      <c r="K29" s="133"/>
      <c r="L29" s="54" t="s">
        <v>638</v>
      </c>
      <c r="M29" s="54"/>
      <c r="N29" s="48"/>
      <c r="DK29" s="46"/>
    </row>
    <row r="30" spans="1:115" ht="22.5" customHeight="1">
      <c r="A30" s="74">
        <f t="shared" si="0"/>
        <v>23</v>
      </c>
      <c r="B30" s="198"/>
      <c r="C30" s="53" t="s">
        <v>49</v>
      </c>
      <c r="D30" s="36" t="s">
        <v>208</v>
      </c>
      <c r="E30" s="52" t="s">
        <v>211</v>
      </c>
      <c r="F30" s="75" t="s">
        <v>10</v>
      </c>
      <c r="G30" s="90"/>
      <c r="H30" s="165" t="s">
        <v>14</v>
      </c>
      <c r="I30" s="63">
        <v>1</v>
      </c>
      <c r="J30" s="133"/>
      <c r="K30" s="133"/>
      <c r="L30" s="54" t="s">
        <v>638</v>
      </c>
      <c r="M30" s="54"/>
      <c r="N30" s="48"/>
      <c r="DK30" s="46"/>
    </row>
    <row r="31" spans="1:115" ht="36" customHeight="1">
      <c r="A31" s="74">
        <f t="shared" si="0"/>
        <v>24</v>
      </c>
      <c r="B31" s="198" t="s">
        <v>707</v>
      </c>
      <c r="C31" s="53" t="s">
        <v>27</v>
      </c>
      <c r="D31" s="36" t="s">
        <v>212</v>
      </c>
      <c r="E31" s="52" t="s">
        <v>213</v>
      </c>
      <c r="F31" s="75" t="s">
        <v>7</v>
      </c>
      <c r="G31" s="94"/>
      <c r="H31" s="165" t="s">
        <v>14</v>
      </c>
      <c r="I31" s="63">
        <v>1</v>
      </c>
      <c r="J31" s="133"/>
      <c r="K31" s="133"/>
      <c r="L31" s="54" t="s">
        <v>530</v>
      </c>
      <c r="M31" s="54"/>
      <c r="N31" s="48"/>
      <c r="DK31" s="46"/>
    </row>
    <row r="32" spans="1:115" ht="36.75" customHeight="1">
      <c r="A32" s="74">
        <f t="shared" si="0"/>
        <v>25</v>
      </c>
      <c r="B32" s="198" t="s">
        <v>707</v>
      </c>
      <c r="C32" s="53" t="s">
        <v>27</v>
      </c>
      <c r="D32" s="36" t="s">
        <v>212</v>
      </c>
      <c r="E32" s="52" t="s">
        <v>214</v>
      </c>
      <c r="F32" s="75" t="s">
        <v>7</v>
      </c>
      <c r="G32" s="94"/>
      <c r="H32" s="164" t="s">
        <v>79</v>
      </c>
      <c r="I32" s="140">
        <v>0.5</v>
      </c>
      <c r="J32" s="162" t="s">
        <v>618</v>
      </c>
      <c r="K32" s="133"/>
      <c r="L32" s="54" t="s">
        <v>534</v>
      </c>
      <c r="M32" s="54"/>
      <c r="N32" s="48"/>
      <c r="DK32" s="46"/>
    </row>
    <row r="33" spans="1:115" ht="22.5" customHeight="1">
      <c r="A33" s="74">
        <f t="shared" si="0"/>
        <v>26</v>
      </c>
      <c r="B33" s="198"/>
      <c r="C33" s="53" t="s">
        <v>215</v>
      </c>
      <c r="D33" s="36" t="s">
        <v>216</v>
      </c>
      <c r="E33" s="53" t="s">
        <v>74</v>
      </c>
      <c r="F33" s="75" t="s">
        <v>7</v>
      </c>
      <c r="G33" s="90"/>
      <c r="H33" s="165" t="s">
        <v>14</v>
      </c>
      <c r="I33" s="63">
        <v>1</v>
      </c>
      <c r="J33" s="133"/>
      <c r="K33" s="133"/>
      <c r="L33" s="54" t="s">
        <v>553</v>
      </c>
      <c r="M33" s="54"/>
      <c r="N33" s="48"/>
      <c r="DK33" s="46"/>
    </row>
    <row r="34" spans="1:115" ht="24.6" customHeight="1">
      <c r="A34" s="74">
        <f t="shared" si="0"/>
        <v>27</v>
      </c>
      <c r="B34" s="198"/>
      <c r="C34" s="53" t="s">
        <v>50</v>
      </c>
      <c r="D34" s="36" t="s">
        <v>217</v>
      </c>
      <c r="E34" s="52" t="s">
        <v>218</v>
      </c>
      <c r="F34" s="75" t="s">
        <v>10</v>
      </c>
      <c r="G34" s="90"/>
      <c r="H34" s="164" t="s">
        <v>79</v>
      </c>
      <c r="I34" s="140">
        <v>1</v>
      </c>
      <c r="J34" s="174" t="s">
        <v>639</v>
      </c>
      <c r="K34" s="133"/>
      <c r="L34" s="54" t="s">
        <v>637</v>
      </c>
      <c r="M34" s="54"/>
      <c r="N34" s="48"/>
      <c r="DK34" s="46"/>
    </row>
    <row r="35" spans="1:115" ht="70.2" customHeight="1">
      <c r="A35" s="74">
        <f t="shared" si="0"/>
        <v>28</v>
      </c>
      <c r="B35" s="198" t="s">
        <v>707</v>
      </c>
      <c r="C35" s="53" t="s">
        <v>28</v>
      </c>
      <c r="D35" s="36" t="s">
        <v>219</v>
      </c>
      <c r="E35" s="52" t="s">
        <v>220</v>
      </c>
      <c r="F35" s="75" t="s">
        <v>7</v>
      </c>
      <c r="G35" s="76"/>
      <c r="H35" s="165" t="s">
        <v>14</v>
      </c>
      <c r="I35" s="63">
        <v>1</v>
      </c>
      <c r="J35" s="133"/>
      <c r="K35" s="133"/>
      <c r="L35" s="54" t="s">
        <v>638</v>
      </c>
      <c r="M35" s="54"/>
      <c r="N35" s="48"/>
      <c r="DK35" s="46"/>
    </row>
    <row r="36" spans="1:115" ht="19.5" customHeight="1">
      <c r="A36" s="74">
        <f t="shared" si="0"/>
        <v>29</v>
      </c>
      <c r="B36" s="198" t="s">
        <v>707</v>
      </c>
      <c r="C36" s="53" t="s">
        <v>28</v>
      </c>
      <c r="D36" s="36" t="s">
        <v>219</v>
      </c>
      <c r="E36" s="53" t="s">
        <v>221</v>
      </c>
      <c r="F36" s="75" t="s">
        <v>10</v>
      </c>
      <c r="G36" s="76"/>
      <c r="H36" s="165" t="s">
        <v>14</v>
      </c>
      <c r="I36" s="63">
        <v>1</v>
      </c>
      <c r="J36" s="133"/>
      <c r="K36" s="133"/>
      <c r="L36" s="54" t="s">
        <v>637</v>
      </c>
      <c r="M36" s="54"/>
      <c r="N36" s="48"/>
      <c r="DK36" s="46"/>
    </row>
    <row r="37" spans="1:115" ht="41.4">
      <c r="A37" s="191"/>
      <c r="B37" s="198" t="s">
        <v>696</v>
      </c>
      <c r="C37" s="194" t="s">
        <v>711</v>
      </c>
      <c r="D37" s="199" t="s">
        <v>712</v>
      </c>
      <c r="E37" s="194" t="s">
        <v>713</v>
      </c>
      <c r="F37" s="192"/>
      <c r="G37" s="195"/>
      <c r="H37" s="196"/>
      <c r="I37" s="196"/>
      <c r="J37" s="138"/>
      <c r="K37" s="174"/>
      <c r="L37" s="197"/>
      <c r="M37" s="197"/>
      <c r="N37" s="48"/>
      <c r="DK37" s="46"/>
    </row>
    <row r="38" spans="1:115" ht="134.4" customHeight="1">
      <c r="A38" s="74">
        <f>A36+1</f>
        <v>30</v>
      </c>
      <c r="B38" s="198" t="s">
        <v>707</v>
      </c>
      <c r="C38" s="53" t="s">
        <v>29</v>
      </c>
      <c r="D38" s="36" t="s">
        <v>223</v>
      </c>
      <c r="E38" s="52" t="s">
        <v>224</v>
      </c>
      <c r="F38" s="75" t="s">
        <v>7</v>
      </c>
      <c r="G38" s="94"/>
      <c r="H38" s="165" t="s">
        <v>14</v>
      </c>
      <c r="I38" s="63">
        <v>1</v>
      </c>
      <c r="J38" s="133"/>
      <c r="K38" s="133"/>
      <c r="L38" s="54" t="s">
        <v>638</v>
      </c>
      <c r="M38" s="54"/>
      <c r="N38" s="48"/>
      <c r="DK38" s="46"/>
    </row>
    <row r="39" spans="1:115" ht="166.8" customHeight="1">
      <c r="A39" s="74">
        <f t="shared" si="0"/>
        <v>31</v>
      </c>
      <c r="B39" s="198" t="s">
        <v>707</v>
      </c>
      <c r="C39" s="52" t="s">
        <v>225</v>
      </c>
      <c r="D39" s="80" t="s">
        <v>226</v>
      </c>
      <c r="E39" s="52" t="s">
        <v>227</v>
      </c>
      <c r="F39" s="75" t="s">
        <v>7</v>
      </c>
      <c r="G39" s="93"/>
      <c r="H39" s="165" t="s">
        <v>79</v>
      </c>
      <c r="I39" s="63">
        <f>113/(115+73+62)</f>
        <v>0.45200000000000001</v>
      </c>
      <c r="J39" s="136" t="s">
        <v>576</v>
      </c>
      <c r="K39" s="85"/>
      <c r="L39" s="138" t="s">
        <v>583</v>
      </c>
      <c r="M39" s="138"/>
      <c r="N39" s="48"/>
      <c r="DK39" s="46"/>
    </row>
    <row r="40" spans="1:115" ht="179.4">
      <c r="A40" s="74">
        <f t="shared" si="0"/>
        <v>32</v>
      </c>
      <c r="B40" s="198" t="s">
        <v>707</v>
      </c>
      <c r="C40" s="52" t="s">
        <v>228</v>
      </c>
      <c r="D40" s="80" t="s">
        <v>226</v>
      </c>
      <c r="E40" s="52" t="s">
        <v>229</v>
      </c>
      <c r="F40" s="75" t="s">
        <v>7</v>
      </c>
      <c r="G40" s="90"/>
      <c r="H40" s="165" t="s">
        <v>79</v>
      </c>
      <c r="I40" s="63">
        <v>0.5</v>
      </c>
      <c r="J40" s="136" t="s">
        <v>578</v>
      </c>
      <c r="K40" s="136" t="s">
        <v>577</v>
      </c>
      <c r="L40" s="138" t="s">
        <v>582</v>
      </c>
      <c r="M40" s="138"/>
      <c r="N40" s="48"/>
      <c r="DK40" s="46"/>
    </row>
    <row r="41" spans="1:115" ht="128.25" customHeight="1">
      <c r="A41" s="74">
        <f t="shared" si="0"/>
        <v>33</v>
      </c>
      <c r="B41" s="198" t="s">
        <v>707</v>
      </c>
      <c r="C41" s="52" t="s">
        <v>230</v>
      </c>
      <c r="D41" s="36" t="s">
        <v>231</v>
      </c>
      <c r="E41" s="52" t="s">
        <v>232</v>
      </c>
      <c r="F41" s="75" t="s">
        <v>7</v>
      </c>
      <c r="G41" s="76"/>
      <c r="H41" s="165" t="s">
        <v>79</v>
      </c>
      <c r="I41" s="137">
        <f>107/(115+73+62)</f>
        <v>0.42799999999999999</v>
      </c>
      <c r="J41" s="136" t="s">
        <v>579</v>
      </c>
      <c r="K41" s="139" t="s">
        <v>584</v>
      </c>
      <c r="L41" s="138" t="s">
        <v>583</v>
      </c>
      <c r="M41" s="138"/>
      <c r="N41" s="48"/>
      <c r="DK41" s="46"/>
    </row>
    <row r="42" spans="1:115" ht="112.5" customHeight="1">
      <c r="A42" s="74">
        <f t="shared" ref="A42:A74" si="1">A41+1</f>
        <v>34</v>
      </c>
      <c r="B42" s="198" t="s">
        <v>707</v>
      </c>
      <c r="C42" s="52" t="s">
        <v>233</v>
      </c>
      <c r="D42" s="36" t="s">
        <v>231</v>
      </c>
      <c r="E42" s="52" t="s">
        <v>234</v>
      </c>
      <c r="F42" s="75" t="s">
        <v>7</v>
      </c>
      <c r="G42" s="93"/>
      <c r="H42" s="165" t="s">
        <v>79</v>
      </c>
      <c r="I42" s="137">
        <f>2/7</f>
        <v>0.2857142857142857</v>
      </c>
      <c r="J42" s="136" t="s">
        <v>580</v>
      </c>
      <c r="K42" s="136" t="s">
        <v>581</v>
      </c>
      <c r="L42" s="138" t="s">
        <v>582</v>
      </c>
      <c r="M42" s="138"/>
      <c r="N42" s="48"/>
      <c r="DK42" s="46"/>
    </row>
    <row r="43" spans="1:115" ht="85.2" customHeight="1">
      <c r="A43" s="74">
        <f t="shared" si="1"/>
        <v>35</v>
      </c>
      <c r="B43" s="198"/>
      <c r="C43" s="53" t="s">
        <v>235</v>
      </c>
      <c r="D43" s="36" t="s">
        <v>236</v>
      </c>
      <c r="E43" s="53" t="s">
        <v>237</v>
      </c>
      <c r="F43" s="75" t="s">
        <v>7</v>
      </c>
      <c r="G43" s="90"/>
      <c r="H43" s="165" t="s">
        <v>14</v>
      </c>
      <c r="I43" s="140">
        <v>1</v>
      </c>
      <c r="J43" s="47" t="s">
        <v>538</v>
      </c>
      <c r="K43" s="47"/>
      <c r="L43" s="54" t="s">
        <v>640</v>
      </c>
      <c r="M43" s="54"/>
      <c r="N43" s="48"/>
      <c r="DK43" s="46"/>
    </row>
    <row r="44" spans="1:115" ht="124.2">
      <c r="A44" s="74">
        <f t="shared" si="1"/>
        <v>36</v>
      </c>
      <c r="B44" s="198" t="s">
        <v>695</v>
      </c>
      <c r="C44" s="52" t="s">
        <v>238</v>
      </c>
      <c r="D44" s="36" t="s">
        <v>239</v>
      </c>
      <c r="E44" s="52" t="s">
        <v>240</v>
      </c>
      <c r="F44" s="75" t="s">
        <v>7</v>
      </c>
      <c r="G44" s="91"/>
      <c r="H44" s="165" t="s">
        <v>14</v>
      </c>
      <c r="I44" s="63">
        <v>1</v>
      </c>
      <c r="J44" s="66" t="s">
        <v>594</v>
      </c>
      <c r="K44" s="85"/>
      <c r="L44" s="54" t="s">
        <v>641</v>
      </c>
      <c r="M44" s="54"/>
      <c r="N44" s="48"/>
      <c r="DK44" s="46"/>
    </row>
    <row r="45" spans="1:115" ht="82.8">
      <c r="A45" s="74">
        <f t="shared" si="1"/>
        <v>37</v>
      </c>
      <c r="B45" s="198" t="s">
        <v>695</v>
      </c>
      <c r="C45" s="53" t="s">
        <v>241</v>
      </c>
      <c r="D45" s="36" t="s">
        <v>242</v>
      </c>
      <c r="E45" s="53" t="s">
        <v>243</v>
      </c>
      <c r="F45" s="75" t="s">
        <v>7</v>
      </c>
      <c r="G45" s="91"/>
      <c r="H45" s="165" t="s">
        <v>14</v>
      </c>
      <c r="I45" s="63">
        <v>1</v>
      </c>
      <c r="J45" s="147" t="s">
        <v>596</v>
      </c>
      <c r="K45" s="133"/>
      <c r="L45" s="54" t="s">
        <v>642</v>
      </c>
      <c r="M45" s="54"/>
      <c r="N45" s="48"/>
      <c r="DK45" s="46"/>
    </row>
    <row r="46" spans="1:115" ht="82.8">
      <c r="A46" s="74">
        <f t="shared" si="1"/>
        <v>38</v>
      </c>
      <c r="B46" s="198" t="s">
        <v>695</v>
      </c>
      <c r="C46" s="52" t="s">
        <v>244</v>
      </c>
      <c r="D46" s="36" t="s">
        <v>242</v>
      </c>
      <c r="E46" s="53" t="s">
        <v>245</v>
      </c>
      <c r="F46" s="75" t="s">
        <v>10</v>
      </c>
      <c r="G46" s="91"/>
      <c r="H46" s="165" t="s">
        <v>14</v>
      </c>
      <c r="I46" s="63">
        <v>1</v>
      </c>
      <c r="J46" s="147" t="s">
        <v>596</v>
      </c>
      <c r="K46" s="133"/>
      <c r="L46" s="54" t="s">
        <v>642</v>
      </c>
      <c r="M46" s="54"/>
      <c r="N46" s="48"/>
      <c r="DK46" s="46"/>
    </row>
    <row r="47" spans="1:115" ht="30" customHeight="1">
      <c r="A47" s="74">
        <f t="shared" si="1"/>
        <v>39</v>
      </c>
      <c r="B47" s="198" t="s">
        <v>695</v>
      </c>
      <c r="C47" s="52" t="s">
        <v>246</v>
      </c>
      <c r="D47" s="36" t="s">
        <v>247</v>
      </c>
      <c r="E47" s="52" t="s">
        <v>248</v>
      </c>
      <c r="F47" s="75" t="s">
        <v>10</v>
      </c>
      <c r="G47" s="90"/>
      <c r="H47" s="165" t="s">
        <v>529</v>
      </c>
      <c r="I47" s="63"/>
      <c r="J47" s="133"/>
      <c r="K47" s="133"/>
      <c r="L47" s="54"/>
      <c r="M47" s="54"/>
      <c r="N47" s="48"/>
      <c r="DK47" s="46"/>
    </row>
    <row r="48" spans="1:115" ht="31.5" customHeight="1">
      <c r="A48" s="74">
        <f t="shared" si="1"/>
        <v>40</v>
      </c>
      <c r="B48" s="198" t="s">
        <v>719</v>
      </c>
      <c r="C48" s="52" t="s">
        <v>249</v>
      </c>
      <c r="D48" s="36" t="s">
        <v>717</v>
      </c>
      <c r="E48" s="141" t="s">
        <v>718</v>
      </c>
      <c r="F48" s="142" t="s">
        <v>7</v>
      </c>
      <c r="G48" s="143"/>
      <c r="H48" s="166" t="s">
        <v>79</v>
      </c>
      <c r="I48" s="144">
        <v>1</v>
      </c>
      <c r="J48" s="145" t="s">
        <v>590</v>
      </c>
      <c r="K48" s="85"/>
      <c r="L48" s="54" t="s">
        <v>643</v>
      </c>
      <c r="M48" s="54"/>
      <c r="N48" s="48"/>
      <c r="DK48" s="46"/>
    </row>
    <row r="49" spans="1:115" ht="33.75" customHeight="1">
      <c r="A49" s="74">
        <f t="shared" si="1"/>
        <v>41</v>
      </c>
      <c r="B49" s="198"/>
      <c r="C49" s="52" t="s">
        <v>251</v>
      </c>
      <c r="D49" s="36" t="s">
        <v>250</v>
      </c>
      <c r="E49" s="52" t="s">
        <v>252</v>
      </c>
      <c r="F49" s="75" t="s">
        <v>7</v>
      </c>
      <c r="G49" s="89"/>
      <c r="H49" s="165" t="s">
        <v>14</v>
      </c>
      <c r="I49" s="63">
        <v>1</v>
      </c>
      <c r="J49" s="85" t="s">
        <v>535</v>
      </c>
      <c r="K49" s="85"/>
      <c r="L49" s="54" t="s">
        <v>530</v>
      </c>
      <c r="M49" s="54"/>
      <c r="N49" s="48"/>
      <c r="DK49" s="46"/>
    </row>
    <row r="50" spans="1:115" ht="53.25" customHeight="1">
      <c r="A50" s="74">
        <f t="shared" si="1"/>
        <v>42</v>
      </c>
      <c r="B50" s="198" t="s">
        <v>716</v>
      </c>
      <c r="C50" s="53" t="s">
        <v>714</v>
      </c>
      <c r="D50" s="36" t="s">
        <v>715</v>
      </c>
      <c r="E50" s="52" t="s">
        <v>253</v>
      </c>
      <c r="F50" s="75" t="s">
        <v>7</v>
      </c>
      <c r="G50" s="76"/>
      <c r="H50" s="165" t="s">
        <v>14</v>
      </c>
      <c r="I50" s="63">
        <v>1</v>
      </c>
      <c r="J50" s="85" t="s">
        <v>533</v>
      </c>
      <c r="K50" s="85"/>
      <c r="L50" s="54" t="s">
        <v>554</v>
      </c>
      <c r="M50" s="54"/>
      <c r="N50" s="48"/>
      <c r="DK50" s="46"/>
    </row>
    <row r="51" spans="1:115" ht="52.5" customHeight="1">
      <c r="A51" s="74">
        <f t="shared" si="1"/>
        <v>43</v>
      </c>
      <c r="B51" s="198"/>
      <c r="C51" s="53" t="s">
        <v>16</v>
      </c>
      <c r="D51" s="36" t="s">
        <v>254</v>
      </c>
      <c r="E51" s="52" t="s">
        <v>255</v>
      </c>
      <c r="F51" s="75" t="s">
        <v>7</v>
      </c>
      <c r="G51" s="93"/>
      <c r="H51" s="166" t="s">
        <v>79</v>
      </c>
      <c r="I51" s="97">
        <v>0.3</v>
      </c>
      <c r="J51" s="125" t="s">
        <v>548</v>
      </c>
      <c r="K51" s="125"/>
      <c r="L51" s="54" t="s">
        <v>583</v>
      </c>
      <c r="M51" s="54"/>
      <c r="N51" s="48"/>
      <c r="DK51" s="46"/>
    </row>
    <row r="52" spans="1:115" ht="52.5" customHeight="1">
      <c r="A52" s="191"/>
      <c r="B52" s="198" t="s">
        <v>716</v>
      </c>
      <c r="C52" s="194" t="s">
        <v>720</v>
      </c>
      <c r="D52" s="199" t="s">
        <v>721</v>
      </c>
      <c r="E52" s="194" t="s">
        <v>722</v>
      </c>
      <c r="F52" s="192"/>
      <c r="G52" s="211"/>
      <c r="H52" s="98"/>
      <c r="I52" s="98"/>
      <c r="J52" s="138"/>
      <c r="K52" s="174"/>
      <c r="L52" s="197"/>
      <c r="M52" s="197"/>
      <c r="N52" s="48"/>
      <c r="DK52" s="46"/>
    </row>
    <row r="53" spans="1:115" ht="32.25" customHeight="1">
      <c r="A53" s="74">
        <f>A51+1</f>
        <v>44</v>
      </c>
      <c r="B53" s="198"/>
      <c r="C53" s="52" t="s">
        <v>256</v>
      </c>
      <c r="D53" s="36" t="s">
        <v>257</v>
      </c>
      <c r="E53" s="53" t="s">
        <v>258</v>
      </c>
      <c r="F53" s="75" t="s">
        <v>10</v>
      </c>
      <c r="G53" s="95"/>
      <c r="H53" s="165" t="s">
        <v>14</v>
      </c>
      <c r="I53" s="63">
        <v>1</v>
      </c>
      <c r="J53" s="133"/>
      <c r="K53" s="133"/>
      <c r="L53" s="54" t="s">
        <v>530</v>
      </c>
      <c r="M53" s="54"/>
      <c r="N53" s="48"/>
      <c r="DK53" s="46"/>
    </row>
    <row r="54" spans="1:115" ht="30.75" customHeight="1">
      <c r="A54" s="74">
        <f t="shared" si="1"/>
        <v>45</v>
      </c>
      <c r="B54" s="198"/>
      <c r="C54" s="52" t="s">
        <v>259</v>
      </c>
      <c r="D54" s="36" t="s">
        <v>260</v>
      </c>
      <c r="E54" s="52" t="s">
        <v>261</v>
      </c>
      <c r="F54" s="75" t="s">
        <v>10</v>
      </c>
      <c r="G54" s="95"/>
      <c r="H54" s="165" t="s">
        <v>14</v>
      </c>
      <c r="I54" s="63">
        <v>1</v>
      </c>
      <c r="J54" s="133"/>
      <c r="K54" s="133"/>
      <c r="L54" s="54" t="s">
        <v>530</v>
      </c>
      <c r="M54" s="54"/>
      <c r="N54" s="48"/>
      <c r="DK54" s="46"/>
    </row>
    <row r="55" spans="1:115" ht="29.25" customHeight="1">
      <c r="A55" s="74">
        <f t="shared" si="1"/>
        <v>46</v>
      </c>
      <c r="B55" s="198"/>
      <c r="C55" s="52" t="s">
        <v>259</v>
      </c>
      <c r="D55" s="36" t="s">
        <v>260</v>
      </c>
      <c r="E55" s="52" t="s">
        <v>262</v>
      </c>
      <c r="F55" s="75" t="s">
        <v>7</v>
      </c>
      <c r="G55" s="94"/>
      <c r="H55" s="165" t="s">
        <v>14</v>
      </c>
      <c r="I55" s="63">
        <v>1</v>
      </c>
      <c r="J55" s="133"/>
      <c r="K55" s="133"/>
      <c r="L55" s="54" t="s">
        <v>530</v>
      </c>
      <c r="M55" s="54"/>
      <c r="N55" s="48"/>
      <c r="DK55" s="46"/>
    </row>
    <row r="56" spans="1:115" ht="41.4">
      <c r="A56" s="74">
        <f t="shared" si="1"/>
        <v>47</v>
      </c>
      <c r="B56" s="198"/>
      <c r="C56" s="52" t="s">
        <v>723</v>
      </c>
      <c r="D56" s="80" t="s">
        <v>724</v>
      </c>
      <c r="E56" s="53" t="s">
        <v>263</v>
      </c>
      <c r="F56" s="75" t="s">
        <v>7</v>
      </c>
      <c r="G56" s="90"/>
      <c r="H56" s="165" t="s">
        <v>79</v>
      </c>
      <c r="I56" s="63">
        <v>1</v>
      </c>
      <c r="J56" s="174" t="s">
        <v>644</v>
      </c>
      <c r="K56" s="133"/>
      <c r="L56" s="54" t="s">
        <v>645</v>
      </c>
      <c r="M56" s="54"/>
      <c r="N56" s="48"/>
      <c r="DK56" s="46"/>
    </row>
    <row r="57" spans="1:115" ht="52.5" customHeight="1">
      <c r="A57" s="74">
        <f t="shared" si="1"/>
        <v>48</v>
      </c>
      <c r="B57" s="198"/>
      <c r="C57" s="53" t="s">
        <v>25</v>
      </c>
      <c r="D57" s="36" t="s">
        <v>264</v>
      </c>
      <c r="E57" s="52" t="s">
        <v>265</v>
      </c>
      <c r="F57" s="75" t="s">
        <v>7</v>
      </c>
      <c r="G57" s="90"/>
      <c r="H57" s="165" t="s">
        <v>14</v>
      </c>
      <c r="I57" s="63">
        <v>1</v>
      </c>
      <c r="J57" s="133"/>
      <c r="K57" s="133"/>
      <c r="L57" s="54" t="s">
        <v>636</v>
      </c>
      <c r="M57" s="54"/>
      <c r="N57" s="48"/>
      <c r="DK57" s="46"/>
    </row>
    <row r="58" spans="1:115" ht="47.25" customHeight="1">
      <c r="A58" s="74">
        <f t="shared" si="1"/>
        <v>49</v>
      </c>
      <c r="B58" s="198"/>
      <c r="C58" s="52" t="s">
        <v>266</v>
      </c>
      <c r="D58" s="36" t="s">
        <v>267</v>
      </c>
      <c r="E58" s="53" t="s">
        <v>268</v>
      </c>
      <c r="F58" s="53" t="s">
        <v>7</v>
      </c>
      <c r="G58" s="88"/>
      <c r="H58" s="167" t="s">
        <v>14</v>
      </c>
      <c r="I58" s="38">
        <v>1</v>
      </c>
      <c r="J58" s="133"/>
      <c r="K58" s="133"/>
      <c r="L58" s="54" t="s">
        <v>530</v>
      </c>
      <c r="M58" s="54"/>
      <c r="N58" s="48"/>
      <c r="DK58" s="46"/>
    </row>
    <row r="59" spans="1:115" ht="55.2">
      <c r="A59" s="74">
        <f t="shared" si="1"/>
        <v>50</v>
      </c>
      <c r="B59" s="198"/>
      <c r="C59" s="53" t="s">
        <v>51</v>
      </c>
      <c r="D59" s="36" t="s">
        <v>269</v>
      </c>
      <c r="E59" s="52" t="s">
        <v>270</v>
      </c>
      <c r="F59" s="53" t="s">
        <v>7</v>
      </c>
      <c r="G59" s="79"/>
      <c r="H59" s="63" t="s">
        <v>14</v>
      </c>
      <c r="I59" s="38">
        <v>1</v>
      </c>
      <c r="J59" s="133"/>
      <c r="K59" s="133"/>
      <c r="L59" s="54" t="s">
        <v>638</v>
      </c>
      <c r="M59" s="54"/>
      <c r="N59" s="48"/>
      <c r="DK59" s="46"/>
    </row>
    <row r="60" spans="1:115" ht="60.75" customHeight="1">
      <c r="A60" s="74">
        <f t="shared" si="1"/>
        <v>51</v>
      </c>
      <c r="B60" s="198"/>
      <c r="C60" s="53" t="s">
        <v>51</v>
      </c>
      <c r="D60" s="36" t="s">
        <v>269</v>
      </c>
      <c r="E60" s="52" t="s">
        <v>271</v>
      </c>
      <c r="F60" s="53" t="s">
        <v>7</v>
      </c>
      <c r="G60" s="77"/>
      <c r="H60" s="63" t="s">
        <v>14</v>
      </c>
      <c r="I60" s="38">
        <v>1</v>
      </c>
      <c r="J60" s="133"/>
      <c r="K60" s="133"/>
      <c r="L60" s="54" t="s">
        <v>638</v>
      </c>
      <c r="M60" s="54"/>
      <c r="N60" s="48"/>
      <c r="DK60" s="46"/>
    </row>
    <row r="61" spans="1:115" ht="28.5" customHeight="1">
      <c r="A61" s="74">
        <f t="shared" si="1"/>
        <v>52</v>
      </c>
      <c r="B61" s="198"/>
      <c r="C61" s="53" t="s">
        <v>51</v>
      </c>
      <c r="D61" s="36" t="s">
        <v>269</v>
      </c>
      <c r="E61" s="53" t="s">
        <v>272</v>
      </c>
      <c r="F61" s="53" t="s">
        <v>7</v>
      </c>
      <c r="G61" s="77"/>
      <c r="H61" s="63" t="s">
        <v>14</v>
      </c>
      <c r="I61" s="38">
        <v>1</v>
      </c>
      <c r="J61" s="133"/>
      <c r="K61" s="133"/>
      <c r="L61" s="54" t="s">
        <v>646</v>
      </c>
      <c r="M61" s="54"/>
      <c r="N61" s="48"/>
      <c r="DK61" s="46"/>
    </row>
    <row r="62" spans="1:115" ht="44.25" customHeight="1">
      <c r="A62" s="74">
        <f t="shared" si="1"/>
        <v>53</v>
      </c>
      <c r="B62" s="198"/>
      <c r="C62" s="53" t="s">
        <v>273</v>
      </c>
      <c r="D62" s="36" t="s">
        <v>274</v>
      </c>
      <c r="E62" s="52" t="s">
        <v>275</v>
      </c>
      <c r="F62" s="53" t="s">
        <v>7</v>
      </c>
      <c r="G62" s="78"/>
      <c r="H62" s="38" t="s">
        <v>79</v>
      </c>
      <c r="I62" s="38"/>
      <c r="J62" s="174" t="s">
        <v>647</v>
      </c>
      <c r="K62" s="133"/>
      <c r="L62" s="54"/>
      <c r="M62" s="54"/>
      <c r="N62" s="48"/>
      <c r="DK62" s="46"/>
    </row>
    <row r="63" spans="1:115" ht="43.5" customHeight="1">
      <c r="A63" s="74">
        <f t="shared" si="1"/>
        <v>54</v>
      </c>
      <c r="B63" s="198"/>
      <c r="C63" s="53" t="s">
        <v>273</v>
      </c>
      <c r="D63" s="36" t="s">
        <v>274</v>
      </c>
      <c r="E63" s="52" t="s">
        <v>276</v>
      </c>
      <c r="F63" s="53" t="s">
        <v>10</v>
      </c>
      <c r="G63" s="77"/>
      <c r="H63" s="63" t="s">
        <v>14</v>
      </c>
      <c r="I63" s="38">
        <v>1</v>
      </c>
      <c r="J63" s="133"/>
      <c r="K63" s="133"/>
      <c r="L63" s="54"/>
      <c r="M63" s="54"/>
      <c r="N63" s="48"/>
      <c r="DK63" s="46"/>
    </row>
    <row r="64" spans="1:115" ht="66" customHeight="1">
      <c r="A64" s="74">
        <f t="shared" si="1"/>
        <v>55</v>
      </c>
      <c r="B64" s="198"/>
      <c r="C64" s="53" t="s">
        <v>277</v>
      </c>
      <c r="D64" s="36" t="s">
        <v>278</v>
      </c>
      <c r="E64" s="52" t="s">
        <v>279</v>
      </c>
      <c r="F64" s="53" t="s">
        <v>7</v>
      </c>
      <c r="G64" s="77"/>
      <c r="H64" s="38" t="s">
        <v>529</v>
      </c>
      <c r="I64" s="38"/>
      <c r="J64" s="133"/>
      <c r="K64" s="133"/>
      <c r="L64" s="54"/>
      <c r="M64" s="54"/>
      <c r="N64" s="48"/>
      <c r="DK64" s="46"/>
    </row>
    <row r="65" spans="1:115" ht="39.75" customHeight="1">
      <c r="A65" s="74">
        <f t="shared" si="1"/>
        <v>56</v>
      </c>
      <c r="B65" s="198"/>
      <c r="C65" s="53" t="s">
        <v>52</v>
      </c>
      <c r="D65" s="36" t="s">
        <v>280</v>
      </c>
      <c r="E65" s="52" t="s">
        <v>281</v>
      </c>
      <c r="F65" s="53" t="s">
        <v>7</v>
      </c>
      <c r="G65" s="60"/>
      <c r="H65" s="63" t="s">
        <v>14</v>
      </c>
      <c r="I65" s="38">
        <v>1</v>
      </c>
      <c r="J65" s="133"/>
      <c r="K65" s="133"/>
      <c r="L65" s="54"/>
      <c r="M65" s="54"/>
      <c r="N65" s="48"/>
      <c r="DK65" s="46"/>
    </row>
    <row r="66" spans="1:115" ht="79.5" customHeight="1">
      <c r="A66" s="74">
        <f t="shared" si="1"/>
        <v>57</v>
      </c>
      <c r="B66" s="198"/>
      <c r="C66" s="53" t="s">
        <v>282</v>
      </c>
      <c r="D66" s="36" t="s">
        <v>283</v>
      </c>
      <c r="E66" s="52" t="s">
        <v>284</v>
      </c>
      <c r="F66" s="53" t="s">
        <v>10</v>
      </c>
      <c r="G66" s="39"/>
      <c r="H66" s="63" t="s">
        <v>14</v>
      </c>
      <c r="I66" s="38">
        <v>1</v>
      </c>
      <c r="J66" s="133"/>
      <c r="K66" s="133"/>
      <c r="L66" s="54"/>
      <c r="M66" s="54"/>
      <c r="N66" s="48"/>
      <c r="DK66" s="46"/>
    </row>
    <row r="67" spans="1:115" ht="54" customHeight="1">
      <c r="A67" s="74">
        <f t="shared" si="1"/>
        <v>58</v>
      </c>
      <c r="B67" s="198"/>
      <c r="C67" s="53" t="s">
        <v>53</v>
      </c>
      <c r="D67" s="36" t="s">
        <v>285</v>
      </c>
      <c r="E67" s="52" t="s">
        <v>286</v>
      </c>
      <c r="F67" s="53" t="s">
        <v>10</v>
      </c>
      <c r="G67" s="77"/>
      <c r="H67" s="38" t="s">
        <v>79</v>
      </c>
      <c r="I67" s="38"/>
      <c r="J67" s="147" t="s">
        <v>591</v>
      </c>
      <c r="K67" s="133"/>
      <c r="L67" s="54"/>
      <c r="M67" s="54"/>
      <c r="N67" s="48"/>
      <c r="DK67" s="46"/>
    </row>
    <row r="68" spans="1:115" ht="20.25" customHeight="1">
      <c r="A68" s="74">
        <f t="shared" si="1"/>
        <v>59</v>
      </c>
      <c r="B68" s="198"/>
      <c r="C68" s="53" t="s">
        <v>35</v>
      </c>
      <c r="D68" s="36" t="s">
        <v>287</v>
      </c>
      <c r="E68" s="53" t="s">
        <v>288</v>
      </c>
      <c r="F68" s="53" t="s">
        <v>7</v>
      </c>
      <c r="G68" s="53"/>
      <c r="H68" s="38" t="s">
        <v>79</v>
      </c>
      <c r="I68" s="38"/>
      <c r="J68" s="147" t="s">
        <v>592</v>
      </c>
      <c r="K68" s="133"/>
      <c r="L68" s="54"/>
      <c r="M68" s="54"/>
      <c r="N68" s="48"/>
      <c r="DK68" s="46"/>
    </row>
    <row r="69" spans="1:115" ht="41.4">
      <c r="A69" s="74">
        <f t="shared" si="1"/>
        <v>60</v>
      </c>
      <c r="B69" s="198"/>
      <c r="C69" s="53" t="s">
        <v>36</v>
      </c>
      <c r="D69" s="36" t="s">
        <v>289</v>
      </c>
      <c r="E69" s="52" t="s">
        <v>290</v>
      </c>
      <c r="F69" s="52" t="s">
        <v>7</v>
      </c>
      <c r="G69" s="39"/>
      <c r="H69" s="63" t="s">
        <v>14</v>
      </c>
      <c r="I69" s="38">
        <v>1</v>
      </c>
      <c r="J69" s="133"/>
      <c r="K69" s="133"/>
      <c r="L69" s="54"/>
      <c r="M69" s="54"/>
      <c r="N69" s="48"/>
      <c r="DK69" s="46"/>
    </row>
    <row r="70" spans="1:115" ht="82.8">
      <c r="A70" s="74">
        <f t="shared" si="1"/>
        <v>61</v>
      </c>
      <c r="B70" s="198"/>
      <c r="C70" s="53" t="s">
        <v>54</v>
      </c>
      <c r="D70" s="36" t="s">
        <v>291</v>
      </c>
      <c r="E70" s="52" t="s">
        <v>292</v>
      </c>
      <c r="F70" s="53" t="s">
        <v>10</v>
      </c>
      <c r="G70" s="77"/>
      <c r="H70" s="58" t="s">
        <v>14</v>
      </c>
      <c r="I70" s="58">
        <v>1</v>
      </c>
      <c r="J70" s="125" t="s">
        <v>545</v>
      </c>
      <c r="K70" s="125"/>
      <c r="L70" s="54"/>
      <c r="M70" s="54"/>
      <c r="N70" s="48"/>
      <c r="DK70" s="46"/>
    </row>
    <row r="71" spans="1:115" ht="101.25" customHeight="1">
      <c r="A71" s="74">
        <f t="shared" si="1"/>
        <v>62</v>
      </c>
      <c r="B71" s="198"/>
      <c r="C71" s="52" t="s">
        <v>293</v>
      </c>
      <c r="D71" s="36" t="s">
        <v>294</v>
      </c>
      <c r="E71" s="52" t="s">
        <v>295</v>
      </c>
      <c r="F71" s="53" t="s">
        <v>7</v>
      </c>
      <c r="G71" s="39"/>
      <c r="H71" s="63" t="s">
        <v>14</v>
      </c>
      <c r="I71" s="38">
        <v>1</v>
      </c>
      <c r="J71" s="133"/>
      <c r="K71" s="133"/>
      <c r="L71" s="54"/>
      <c r="M71" s="54"/>
      <c r="N71" s="48"/>
      <c r="DK71" s="46"/>
    </row>
    <row r="72" spans="1:115" ht="39" customHeight="1">
      <c r="A72" s="74">
        <f t="shared" si="1"/>
        <v>63</v>
      </c>
      <c r="B72" s="198"/>
      <c r="C72" s="52" t="s">
        <v>296</v>
      </c>
      <c r="D72" s="36" t="s">
        <v>297</v>
      </c>
      <c r="E72" s="52" t="s">
        <v>298</v>
      </c>
      <c r="F72" s="53" t="s">
        <v>7</v>
      </c>
      <c r="G72" s="77"/>
      <c r="H72" s="63" t="s">
        <v>14</v>
      </c>
      <c r="I72" s="38">
        <v>1</v>
      </c>
      <c r="J72" s="133"/>
      <c r="K72" s="133"/>
      <c r="L72" s="54"/>
      <c r="M72" s="54"/>
      <c r="N72" s="48"/>
      <c r="DK72" s="46"/>
    </row>
    <row r="73" spans="1:115" ht="47.25" customHeight="1">
      <c r="A73" s="74">
        <f t="shared" si="1"/>
        <v>64</v>
      </c>
      <c r="B73" s="198"/>
      <c r="C73" s="53" t="s">
        <v>38</v>
      </c>
      <c r="D73" s="36" t="s">
        <v>299</v>
      </c>
      <c r="E73" s="52" t="s">
        <v>300</v>
      </c>
      <c r="F73" s="53" t="s">
        <v>7</v>
      </c>
      <c r="G73" s="77"/>
      <c r="H73" s="63" t="s">
        <v>14</v>
      </c>
      <c r="I73" s="38">
        <v>1</v>
      </c>
      <c r="J73" s="133"/>
      <c r="K73" s="133"/>
      <c r="L73" s="54"/>
      <c r="M73" s="54"/>
      <c r="N73" s="48"/>
      <c r="DK73" s="46"/>
    </row>
    <row r="74" spans="1:115" ht="36" customHeight="1">
      <c r="A74" s="74">
        <f t="shared" si="1"/>
        <v>65</v>
      </c>
      <c r="B74" s="198"/>
      <c r="C74" s="53" t="s">
        <v>39</v>
      </c>
      <c r="D74" s="36" t="s">
        <v>301</v>
      </c>
      <c r="E74" s="52" t="s">
        <v>302</v>
      </c>
      <c r="F74" s="53" t="s">
        <v>10</v>
      </c>
      <c r="G74" s="81"/>
      <c r="H74" s="63" t="s">
        <v>14</v>
      </c>
      <c r="I74" s="38">
        <v>1</v>
      </c>
      <c r="J74" s="133"/>
      <c r="K74" s="133"/>
      <c r="L74" s="54"/>
      <c r="M74" s="54"/>
      <c r="N74" s="48"/>
      <c r="DK74" s="46"/>
    </row>
    <row r="75" spans="1:115" ht="31.5" customHeight="1">
      <c r="A75" s="74">
        <f t="shared" ref="A75:A105" si="2">A74+1</f>
        <v>66</v>
      </c>
      <c r="B75" s="198"/>
      <c r="C75" s="52" t="s">
        <v>303</v>
      </c>
      <c r="D75" s="36" t="s">
        <v>301</v>
      </c>
      <c r="E75" s="52" t="s">
        <v>304</v>
      </c>
      <c r="F75" s="53" t="s">
        <v>7</v>
      </c>
      <c r="G75" s="39"/>
      <c r="H75" s="63" t="s">
        <v>14</v>
      </c>
      <c r="I75" s="38">
        <v>1</v>
      </c>
      <c r="J75" s="133"/>
      <c r="K75" s="133"/>
      <c r="L75" s="54"/>
      <c r="M75" s="54"/>
      <c r="N75" s="48"/>
      <c r="DK75" s="46"/>
    </row>
    <row r="76" spans="1:115" ht="49.5" customHeight="1">
      <c r="A76" s="74">
        <f t="shared" si="2"/>
        <v>67</v>
      </c>
      <c r="B76" s="198"/>
      <c r="C76" s="52" t="s">
        <v>305</v>
      </c>
      <c r="D76" s="36" t="s">
        <v>306</v>
      </c>
      <c r="E76" s="53" t="s">
        <v>258</v>
      </c>
      <c r="F76" s="53" t="s">
        <v>10</v>
      </c>
      <c r="G76" s="79"/>
      <c r="H76" s="63" t="s">
        <v>14</v>
      </c>
      <c r="I76" s="38">
        <v>1</v>
      </c>
      <c r="J76" s="133"/>
      <c r="K76" s="133"/>
      <c r="L76" s="54"/>
      <c r="M76" s="54"/>
      <c r="N76" s="48"/>
      <c r="DK76" s="46"/>
    </row>
    <row r="77" spans="1:115" ht="32.25" customHeight="1">
      <c r="A77" s="74">
        <f t="shared" si="2"/>
        <v>68</v>
      </c>
      <c r="B77" s="198"/>
      <c r="C77" s="52" t="s">
        <v>307</v>
      </c>
      <c r="D77" s="36" t="s">
        <v>308</v>
      </c>
      <c r="E77" s="53" t="s">
        <v>309</v>
      </c>
      <c r="F77" s="53" t="s">
        <v>7</v>
      </c>
      <c r="G77" s="39"/>
      <c r="H77" s="98" t="s">
        <v>529</v>
      </c>
      <c r="I77" s="98"/>
      <c r="J77" s="85" t="s">
        <v>536</v>
      </c>
      <c r="K77" s="85"/>
      <c r="L77" s="54"/>
      <c r="M77" s="54"/>
      <c r="N77" s="48"/>
      <c r="DK77" s="46"/>
    </row>
    <row r="78" spans="1:115" ht="36" customHeight="1">
      <c r="A78" s="74">
        <f t="shared" si="2"/>
        <v>69</v>
      </c>
      <c r="B78" s="198"/>
      <c r="C78" s="53" t="s">
        <v>310</v>
      </c>
      <c r="D78" s="36" t="s">
        <v>311</v>
      </c>
      <c r="E78" s="53" t="s">
        <v>310</v>
      </c>
      <c r="F78" s="53" t="s">
        <v>7</v>
      </c>
      <c r="G78" s="81"/>
      <c r="H78" s="63" t="s">
        <v>14</v>
      </c>
      <c r="I78" s="38">
        <v>1</v>
      </c>
      <c r="J78" s="133"/>
      <c r="K78" s="133"/>
      <c r="L78" s="54"/>
      <c r="M78" s="54"/>
      <c r="N78" s="48"/>
      <c r="DK78" s="46"/>
    </row>
    <row r="79" spans="1:115" ht="41.4">
      <c r="A79" s="74">
        <f t="shared" si="2"/>
        <v>70</v>
      </c>
      <c r="B79" s="198"/>
      <c r="C79" s="52" t="s">
        <v>312</v>
      </c>
      <c r="D79" s="36" t="s">
        <v>313</v>
      </c>
      <c r="E79" s="52" t="s">
        <v>314</v>
      </c>
      <c r="F79" s="53" t="s">
        <v>7</v>
      </c>
      <c r="G79" s="77"/>
      <c r="H79" s="164" t="s">
        <v>79</v>
      </c>
      <c r="I79" s="140">
        <v>0.5</v>
      </c>
      <c r="J79" s="85" t="s">
        <v>537</v>
      </c>
      <c r="K79" s="85"/>
      <c r="L79" s="54"/>
      <c r="M79" s="54"/>
      <c r="N79" s="48"/>
      <c r="DK79" s="46"/>
    </row>
    <row r="80" spans="1:115" ht="52.5" customHeight="1">
      <c r="A80" s="74">
        <f t="shared" si="2"/>
        <v>71</v>
      </c>
      <c r="B80" s="198"/>
      <c r="C80" s="53" t="s">
        <v>57</v>
      </c>
      <c r="D80" s="36" t="s">
        <v>315</v>
      </c>
      <c r="E80" s="53" t="s">
        <v>316</v>
      </c>
      <c r="F80" s="53" t="s">
        <v>7</v>
      </c>
      <c r="G80" s="39"/>
      <c r="H80" s="58" t="s">
        <v>14</v>
      </c>
      <c r="I80" s="58">
        <v>1</v>
      </c>
      <c r="J80" s="163" t="s">
        <v>619</v>
      </c>
      <c r="K80" s="133"/>
      <c r="L80" s="54"/>
      <c r="M80" s="54"/>
      <c r="N80" s="48"/>
      <c r="DK80" s="46"/>
    </row>
    <row r="81" spans="1:115" ht="14.25" customHeight="1">
      <c r="A81" s="74">
        <f t="shared" si="2"/>
        <v>72</v>
      </c>
      <c r="B81" s="198"/>
      <c r="C81" s="53" t="s">
        <v>317</v>
      </c>
      <c r="D81" s="36" t="s">
        <v>318</v>
      </c>
      <c r="E81" s="53" t="s">
        <v>319</v>
      </c>
      <c r="F81" s="53" t="s">
        <v>7</v>
      </c>
      <c r="G81" s="60"/>
      <c r="H81" s="63" t="s">
        <v>14</v>
      </c>
      <c r="I81" s="38">
        <v>1</v>
      </c>
      <c r="J81" s="133"/>
      <c r="K81" s="133"/>
      <c r="L81" s="54"/>
      <c r="M81" s="54"/>
      <c r="N81" s="48"/>
      <c r="DK81" s="46"/>
    </row>
    <row r="82" spans="1:115" ht="14.25" customHeight="1">
      <c r="A82" s="74">
        <f t="shared" si="2"/>
        <v>73</v>
      </c>
      <c r="B82" s="198"/>
      <c r="C82" s="53" t="s">
        <v>74</v>
      </c>
      <c r="D82" s="36" t="s">
        <v>320</v>
      </c>
      <c r="E82" s="53" t="s">
        <v>74</v>
      </c>
      <c r="F82" s="53" t="s">
        <v>7</v>
      </c>
      <c r="G82" s="39"/>
      <c r="H82" s="63" t="s">
        <v>14</v>
      </c>
      <c r="I82" s="38">
        <v>1</v>
      </c>
      <c r="J82" s="133"/>
      <c r="K82" s="133"/>
      <c r="L82" s="54"/>
      <c r="M82" s="54"/>
      <c r="N82" s="48"/>
      <c r="DK82" s="46"/>
    </row>
    <row r="83" spans="1:115" ht="14.25" customHeight="1">
      <c r="A83" s="74">
        <f t="shared" si="2"/>
        <v>74</v>
      </c>
      <c r="B83" s="198"/>
      <c r="C83" s="53" t="s">
        <v>58</v>
      </c>
      <c r="D83" s="36" t="s">
        <v>320</v>
      </c>
      <c r="E83" s="53" t="s">
        <v>321</v>
      </c>
      <c r="F83" s="53" t="s">
        <v>7</v>
      </c>
      <c r="G83" s="77"/>
      <c r="H83" s="58" t="s">
        <v>14</v>
      </c>
      <c r="I83" s="58">
        <v>1</v>
      </c>
      <c r="J83" s="133"/>
      <c r="K83" s="133"/>
      <c r="L83" s="54"/>
      <c r="M83" s="54"/>
      <c r="N83" s="48"/>
      <c r="DK83" s="46"/>
    </row>
    <row r="84" spans="1:115" ht="14.25" customHeight="1">
      <c r="A84" s="74">
        <f t="shared" si="2"/>
        <v>75</v>
      </c>
      <c r="B84" s="198"/>
      <c r="C84" s="53" t="s">
        <v>322</v>
      </c>
      <c r="D84" s="36" t="s">
        <v>323</v>
      </c>
      <c r="E84" s="53" t="s">
        <v>324</v>
      </c>
      <c r="F84" s="53" t="s">
        <v>7</v>
      </c>
      <c r="G84" s="77"/>
      <c r="H84" s="63" t="s">
        <v>14</v>
      </c>
      <c r="I84" s="38">
        <v>1</v>
      </c>
      <c r="J84" s="85" t="s">
        <v>533</v>
      </c>
      <c r="K84" s="85"/>
      <c r="L84" s="54"/>
      <c r="M84" s="54"/>
      <c r="N84" s="48"/>
      <c r="DK84" s="46"/>
    </row>
    <row r="85" spans="1:115" ht="41.4">
      <c r="A85" s="74">
        <f t="shared" si="2"/>
        <v>76</v>
      </c>
      <c r="B85" s="198"/>
      <c r="C85" s="53" t="s">
        <v>325</v>
      </c>
      <c r="D85" s="36" t="s">
        <v>326</v>
      </c>
      <c r="E85" s="52" t="s">
        <v>91</v>
      </c>
      <c r="F85" s="53" t="s">
        <v>7</v>
      </c>
      <c r="G85" s="35"/>
      <c r="H85" s="58" t="s">
        <v>79</v>
      </c>
      <c r="I85" s="65">
        <v>1</v>
      </c>
      <c r="J85" s="57" t="s">
        <v>617</v>
      </c>
      <c r="K85" s="133"/>
      <c r="L85" s="54"/>
      <c r="M85" s="54"/>
      <c r="N85" s="48"/>
      <c r="DK85" s="46"/>
    </row>
    <row r="86" spans="1:115" ht="95.25" customHeight="1">
      <c r="A86" s="74">
        <f t="shared" si="2"/>
        <v>77</v>
      </c>
      <c r="B86" s="198"/>
      <c r="C86" s="53" t="s">
        <v>327</v>
      </c>
      <c r="D86" s="36" t="s">
        <v>328</v>
      </c>
      <c r="E86" s="52" t="s">
        <v>329</v>
      </c>
      <c r="F86" s="53" t="s">
        <v>7</v>
      </c>
      <c r="G86" s="77"/>
      <c r="H86" s="58" t="s">
        <v>14</v>
      </c>
      <c r="I86" s="58">
        <v>1</v>
      </c>
      <c r="J86" s="162" t="s">
        <v>620</v>
      </c>
      <c r="K86" s="133"/>
      <c r="L86" s="54"/>
      <c r="M86" s="54"/>
      <c r="N86" s="48"/>
      <c r="DK86" s="46"/>
    </row>
    <row r="87" spans="1:115" ht="25.2" customHeight="1">
      <c r="A87" s="74">
        <f t="shared" si="2"/>
        <v>78</v>
      </c>
      <c r="B87" s="198"/>
      <c r="C87" s="53" t="s">
        <v>59</v>
      </c>
      <c r="D87" s="36" t="s">
        <v>330</v>
      </c>
      <c r="E87" s="53" t="s">
        <v>331</v>
      </c>
      <c r="F87" s="53" t="s">
        <v>7</v>
      </c>
      <c r="G87" s="60"/>
      <c r="H87" s="38" t="s">
        <v>79</v>
      </c>
      <c r="I87" s="65">
        <v>0.5</v>
      </c>
      <c r="J87" s="66" t="s">
        <v>614</v>
      </c>
      <c r="K87" s="133"/>
      <c r="L87" s="54"/>
      <c r="M87" s="54"/>
      <c r="N87" s="48"/>
      <c r="DK87" s="46"/>
    </row>
    <row r="88" spans="1:115" ht="39.75" customHeight="1">
      <c r="A88" s="74">
        <f t="shared" si="2"/>
        <v>79</v>
      </c>
      <c r="B88" s="198"/>
      <c r="C88" s="53" t="s">
        <v>60</v>
      </c>
      <c r="D88" s="36" t="s">
        <v>332</v>
      </c>
      <c r="E88" s="37" t="s">
        <v>129</v>
      </c>
      <c r="F88" s="53" t="s">
        <v>7</v>
      </c>
      <c r="G88" s="39"/>
      <c r="H88" s="63" t="s">
        <v>14</v>
      </c>
      <c r="I88" s="38">
        <v>1</v>
      </c>
      <c r="J88" s="133"/>
      <c r="K88" s="133"/>
      <c r="L88" s="54"/>
      <c r="M88" s="54"/>
      <c r="N88" s="48"/>
      <c r="DK88" s="46"/>
    </row>
    <row r="89" spans="1:115" ht="33" customHeight="1">
      <c r="A89" s="74">
        <f t="shared" si="2"/>
        <v>80</v>
      </c>
      <c r="B89" s="198"/>
      <c r="C89" s="53" t="s">
        <v>333</v>
      </c>
      <c r="D89" s="36" t="s">
        <v>334</v>
      </c>
      <c r="E89" s="53" t="s">
        <v>335</v>
      </c>
      <c r="F89" s="53" t="s">
        <v>7</v>
      </c>
      <c r="G89" s="77"/>
      <c r="H89" s="58" t="s">
        <v>14</v>
      </c>
      <c r="I89" s="58">
        <v>1</v>
      </c>
      <c r="J89" s="162" t="s">
        <v>621</v>
      </c>
      <c r="K89" s="125"/>
      <c r="L89" s="54"/>
      <c r="M89" s="54"/>
      <c r="N89" s="48"/>
      <c r="DK89" s="46"/>
    </row>
    <row r="90" spans="1:115" ht="50.25" customHeight="1">
      <c r="A90" s="74">
        <f t="shared" si="2"/>
        <v>81</v>
      </c>
      <c r="B90" s="198"/>
      <c r="C90" s="53" t="s">
        <v>96</v>
      </c>
      <c r="D90" s="36" t="s">
        <v>336</v>
      </c>
      <c r="E90" s="52" t="s">
        <v>337</v>
      </c>
      <c r="F90" s="53" t="s">
        <v>10</v>
      </c>
      <c r="G90" s="82"/>
      <c r="H90" s="63" t="s">
        <v>529</v>
      </c>
      <c r="I90" s="38"/>
      <c r="J90" s="85"/>
      <c r="K90" s="85"/>
      <c r="L90" s="54"/>
      <c r="M90" s="54"/>
      <c r="N90" s="48"/>
      <c r="DK90" s="46"/>
    </row>
    <row r="91" spans="1:115" ht="36" customHeight="1">
      <c r="A91" s="74">
        <f t="shared" si="2"/>
        <v>82</v>
      </c>
      <c r="B91" s="198"/>
      <c r="C91" s="52" t="s">
        <v>338</v>
      </c>
      <c r="D91" s="36" t="s">
        <v>336</v>
      </c>
      <c r="E91" s="52" t="s">
        <v>339</v>
      </c>
      <c r="F91" s="53" t="s">
        <v>10</v>
      </c>
      <c r="G91" s="77"/>
      <c r="H91" s="98" t="s">
        <v>529</v>
      </c>
      <c r="I91" s="98"/>
      <c r="J91" s="133"/>
      <c r="K91" s="133"/>
      <c r="L91" s="54"/>
      <c r="M91" s="54"/>
      <c r="N91" s="48"/>
      <c r="DK91" s="46"/>
    </row>
    <row r="92" spans="1:115" ht="64.5" customHeight="1">
      <c r="A92" s="74">
        <f t="shared" si="2"/>
        <v>83</v>
      </c>
      <c r="B92" s="198"/>
      <c r="C92" s="52" t="s">
        <v>340</v>
      </c>
      <c r="D92" s="36" t="s">
        <v>341</v>
      </c>
      <c r="E92" s="52" t="s">
        <v>342</v>
      </c>
      <c r="F92" s="53" t="s">
        <v>10</v>
      </c>
      <c r="G92" s="77"/>
      <c r="H92" s="38" t="s">
        <v>529</v>
      </c>
      <c r="I92" s="38"/>
      <c r="J92" s="133"/>
      <c r="K92" s="133"/>
      <c r="L92" s="54"/>
      <c r="M92" s="54"/>
      <c r="N92" s="48"/>
      <c r="DK92" s="46"/>
    </row>
    <row r="93" spans="1:115" ht="49.5" customHeight="1">
      <c r="A93" s="74">
        <f t="shared" si="2"/>
        <v>84</v>
      </c>
      <c r="B93" s="198"/>
      <c r="C93" s="53" t="s">
        <v>340</v>
      </c>
      <c r="D93" s="36" t="s">
        <v>341</v>
      </c>
      <c r="E93" s="52" t="s">
        <v>343</v>
      </c>
      <c r="F93" s="53" t="s">
        <v>10</v>
      </c>
      <c r="G93" s="77"/>
      <c r="H93" s="38" t="s">
        <v>529</v>
      </c>
      <c r="I93" s="38"/>
      <c r="J93" s="133"/>
      <c r="K93" s="133"/>
      <c r="L93" s="54"/>
      <c r="M93" s="54"/>
      <c r="N93" s="48"/>
      <c r="DK93" s="46"/>
    </row>
    <row r="94" spans="1:115" ht="30.75" customHeight="1">
      <c r="A94" s="74">
        <f t="shared" si="2"/>
        <v>85</v>
      </c>
      <c r="B94" s="198"/>
      <c r="C94" s="52" t="s">
        <v>344</v>
      </c>
      <c r="D94" s="36" t="s">
        <v>345</v>
      </c>
      <c r="E94" s="53" t="s">
        <v>115</v>
      </c>
      <c r="F94" s="53" t="s">
        <v>10</v>
      </c>
      <c r="G94" s="77"/>
      <c r="H94" s="38" t="s">
        <v>529</v>
      </c>
      <c r="I94" s="38"/>
      <c r="J94" s="133"/>
      <c r="K94" s="133"/>
      <c r="L94" s="54"/>
      <c r="M94" s="54"/>
      <c r="N94" s="48"/>
      <c r="DK94" s="46"/>
    </row>
    <row r="95" spans="1:115" ht="29.25" customHeight="1">
      <c r="A95" s="74">
        <f t="shared" si="2"/>
        <v>86</v>
      </c>
      <c r="B95" s="198"/>
      <c r="C95" s="53" t="s">
        <v>19</v>
      </c>
      <c r="D95" s="36" t="s">
        <v>346</v>
      </c>
      <c r="E95" s="52" t="s">
        <v>156</v>
      </c>
      <c r="F95" s="53" t="s">
        <v>10</v>
      </c>
      <c r="G95" s="77"/>
      <c r="H95" s="38" t="s">
        <v>529</v>
      </c>
      <c r="I95" s="38"/>
      <c r="J95" s="133"/>
      <c r="K95" s="133"/>
      <c r="L95" s="54"/>
      <c r="M95" s="54"/>
      <c r="N95" s="48"/>
      <c r="DK95" s="46"/>
    </row>
    <row r="96" spans="1:115" ht="58.5" customHeight="1">
      <c r="A96" s="74">
        <f t="shared" si="2"/>
        <v>87</v>
      </c>
      <c r="B96" s="198"/>
      <c r="C96" s="53" t="s">
        <v>347</v>
      </c>
      <c r="D96" s="36" t="s">
        <v>348</v>
      </c>
      <c r="E96" s="52" t="s">
        <v>349</v>
      </c>
      <c r="F96" s="53" t="s">
        <v>7</v>
      </c>
      <c r="G96" s="77"/>
      <c r="H96" s="38" t="s">
        <v>529</v>
      </c>
      <c r="I96" s="38"/>
      <c r="J96" s="133"/>
      <c r="K96" s="133"/>
      <c r="L96" s="54"/>
      <c r="M96" s="54"/>
      <c r="N96" s="48"/>
      <c r="DK96" s="46"/>
    </row>
    <row r="97" spans="1:115" ht="62.25" customHeight="1">
      <c r="A97" s="74">
        <f t="shared" si="2"/>
        <v>88</v>
      </c>
      <c r="B97" s="198"/>
      <c r="C97" s="53" t="s">
        <v>45</v>
      </c>
      <c r="D97" s="36" t="s">
        <v>350</v>
      </c>
      <c r="E97" s="53" t="s">
        <v>136</v>
      </c>
      <c r="F97" s="53" t="s">
        <v>7</v>
      </c>
      <c r="G97" s="39"/>
      <c r="H97" s="63" t="s">
        <v>14</v>
      </c>
      <c r="I97" s="38">
        <v>1</v>
      </c>
      <c r="J97" s="133"/>
      <c r="K97" s="133"/>
      <c r="L97" s="54"/>
      <c r="M97" s="54"/>
      <c r="N97" s="48"/>
      <c r="DK97" s="46"/>
    </row>
    <row r="98" spans="1:115" ht="14.25" customHeight="1">
      <c r="A98" s="74">
        <f t="shared" si="2"/>
        <v>89</v>
      </c>
      <c r="B98" s="198"/>
      <c r="C98" s="53" t="s">
        <v>351</v>
      </c>
      <c r="D98" s="36" t="s">
        <v>352</v>
      </c>
      <c r="E98" s="53" t="s">
        <v>353</v>
      </c>
      <c r="F98" s="53" t="s">
        <v>7</v>
      </c>
      <c r="G98" s="77"/>
      <c r="H98" s="38" t="s">
        <v>529</v>
      </c>
      <c r="I98" s="38"/>
      <c r="J98" s="133"/>
      <c r="K98" s="133"/>
      <c r="L98" s="54"/>
      <c r="M98" s="54"/>
      <c r="N98" s="48"/>
      <c r="DK98" s="46"/>
    </row>
    <row r="99" spans="1:115" ht="14.25" customHeight="1">
      <c r="A99" s="74">
        <f t="shared" si="2"/>
        <v>90</v>
      </c>
      <c r="B99" s="198"/>
      <c r="C99" s="53" t="s">
        <v>16</v>
      </c>
      <c r="D99" s="36" t="s">
        <v>354</v>
      </c>
      <c r="E99" s="52" t="s">
        <v>355</v>
      </c>
      <c r="F99" s="53" t="s">
        <v>7</v>
      </c>
      <c r="G99" s="77"/>
      <c r="H99" s="38" t="s">
        <v>529</v>
      </c>
      <c r="I99" s="38"/>
      <c r="J99" s="133"/>
      <c r="K99" s="133"/>
      <c r="L99" s="54"/>
      <c r="M99" s="54"/>
      <c r="N99" s="48"/>
      <c r="DK99" s="46"/>
    </row>
    <row r="100" spans="1:115" ht="47.25" customHeight="1">
      <c r="A100" s="74">
        <f t="shared" si="2"/>
        <v>91</v>
      </c>
      <c r="B100" s="198"/>
      <c r="C100" s="52" t="s">
        <v>356</v>
      </c>
      <c r="D100" s="36" t="s">
        <v>357</v>
      </c>
      <c r="E100" s="52" t="s">
        <v>358</v>
      </c>
      <c r="F100" s="53" t="s">
        <v>7</v>
      </c>
      <c r="G100" s="77"/>
      <c r="H100" s="38" t="s">
        <v>529</v>
      </c>
      <c r="I100" s="38"/>
      <c r="J100" s="133"/>
      <c r="K100" s="133"/>
      <c r="L100" s="54"/>
      <c r="M100" s="54"/>
      <c r="N100" s="48"/>
      <c r="DK100" s="46"/>
    </row>
    <row r="101" spans="1:115" ht="69">
      <c r="A101" s="74">
        <f t="shared" si="2"/>
        <v>92</v>
      </c>
      <c r="B101" s="198"/>
      <c r="C101" s="52" t="s">
        <v>359</v>
      </c>
      <c r="D101" s="36" t="s">
        <v>360</v>
      </c>
      <c r="E101" s="52" t="s">
        <v>361</v>
      </c>
      <c r="F101" s="53" t="s">
        <v>10</v>
      </c>
      <c r="G101" s="77"/>
      <c r="H101" s="38" t="s">
        <v>529</v>
      </c>
      <c r="I101" s="38"/>
      <c r="J101" s="133"/>
      <c r="K101" s="133"/>
      <c r="L101" s="54"/>
      <c r="M101" s="54"/>
      <c r="N101" s="48"/>
      <c r="DK101" s="46"/>
    </row>
    <row r="102" spans="1:115" ht="78" customHeight="1">
      <c r="A102" s="74">
        <f t="shared" si="2"/>
        <v>93</v>
      </c>
      <c r="B102" s="198"/>
      <c r="C102" s="53" t="s">
        <v>362</v>
      </c>
      <c r="D102" s="36" t="s">
        <v>363</v>
      </c>
      <c r="E102" s="53" t="s">
        <v>288</v>
      </c>
      <c r="F102" s="53" t="s">
        <v>7</v>
      </c>
      <c r="G102" s="77"/>
      <c r="H102" s="58" t="s">
        <v>14</v>
      </c>
      <c r="I102" s="58">
        <v>1</v>
      </c>
      <c r="J102" s="162" t="s">
        <v>622</v>
      </c>
      <c r="K102" s="85"/>
      <c r="L102" s="54"/>
      <c r="M102" s="54"/>
      <c r="N102" s="48"/>
      <c r="DK102" s="46"/>
    </row>
    <row r="103" spans="1:115" ht="14.25" customHeight="1">
      <c r="A103" s="74">
        <f t="shared" si="2"/>
        <v>94</v>
      </c>
      <c r="B103" s="198"/>
      <c r="C103" s="53" t="s">
        <v>364</v>
      </c>
      <c r="D103" s="36" t="s">
        <v>365</v>
      </c>
      <c r="E103" s="53" t="s">
        <v>288</v>
      </c>
      <c r="F103" s="53" t="s">
        <v>7</v>
      </c>
      <c r="G103" s="77"/>
      <c r="H103" s="38" t="s">
        <v>529</v>
      </c>
      <c r="I103" s="38"/>
      <c r="J103" s="133"/>
      <c r="K103" s="133"/>
      <c r="L103" s="54"/>
      <c r="M103" s="54"/>
      <c r="N103" s="48"/>
      <c r="DK103" s="46"/>
    </row>
    <row r="104" spans="1:115" ht="14.25" customHeight="1">
      <c r="A104" s="74">
        <f t="shared" si="2"/>
        <v>95</v>
      </c>
      <c r="B104" s="198"/>
      <c r="C104" s="53" t="s">
        <v>366</v>
      </c>
      <c r="D104" s="36" t="s">
        <v>367</v>
      </c>
      <c r="E104" s="53" t="s">
        <v>288</v>
      </c>
      <c r="F104" s="53" t="s">
        <v>7</v>
      </c>
      <c r="G104" s="77"/>
      <c r="H104" s="63" t="s">
        <v>14</v>
      </c>
      <c r="I104" s="38">
        <v>1</v>
      </c>
      <c r="J104" s="133"/>
      <c r="K104" s="133"/>
      <c r="L104" s="54"/>
      <c r="M104" s="54"/>
      <c r="N104" s="48"/>
      <c r="DK104" s="46"/>
    </row>
    <row r="105" spans="1:115" ht="33.6" customHeight="1">
      <c r="A105" s="74">
        <f t="shared" si="2"/>
        <v>96</v>
      </c>
      <c r="B105" s="212"/>
      <c r="C105" s="83" t="s">
        <v>368</v>
      </c>
      <c r="D105" s="61" t="s">
        <v>369</v>
      </c>
      <c r="E105" s="83" t="s">
        <v>370</v>
      </c>
      <c r="F105" s="83" t="s">
        <v>10</v>
      </c>
      <c r="G105" s="84"/>
      <c r="H105" s="146" t="s">
        <v>14</v>
      </c>
      <c r="I105" s="146">
        <v>1</v>
      </c>
      <c r="J105" s="134" t="s">
        <v>546</v>
      </c>
      <c r="K105" s="134"/>
      <c r="L105" s="56"/>
      <c r="M105" s="56"/>
      <c r="N105" s="48"/>
      <c r="DK105" s="46"/>
    </row>
    <row r="106" spans="1:115" ht="14.25" customHeight="1">
      <c r="A106" s="40"/>
      <c r="B106" s="40"/>
      <c r="C106" s="15"/>
      <c r="D106" s="28"/>
      <c r="E106" s="15"/>
      <c r="F106" s="41"/>
    </row>
    <row r="107" spans="1:115" ht="14.25" customHeight="1">
      <c r="A107" s="40"/>
      <c r="B107" s="40"/>
      <c r="C107" s="15"/>
      <c r="D107" s="28"/>
      <c r="E107" s="15"/>
      <c r="F107" s="96" t="s">
        <v>7</v>
      </c>
      <c r="G107" s="18">
        <f>COUNTIF(Table2[Status],F107)</f>
        <v>66</v>
      </c>
      <c r="H107" s="71" t="s">
        <v>14</v>
      </c>
      <c r="I107" s="71">
        <f>COUNTIF(Table2[Implementasi],H107)</f>
        <v>58</v>
      </c>
    </row>
    <row r="108" spans="1:115" ht="14.25" customHeight="1">
      <c r="A108" s="40"/>
      <c r="B108" s="40"/>
      <c r="C108" s="15"/>
      <c r="D108" s="28"/>
      <c r="E108" s="15"/>
      <c r="F108" s="96" t="s">
        <v>10</v>
      </c>
      <c r="G108" s="18">
        <f>COUNTIF(Table2[Status],F108)</f>
        <v>30</v>
      </c>
      <c r="H108" s="71" t="s">
        <v>79</v>
      </c>
      <c r="I108" s="71">
        <f>COUNTIF(Table2[Implementasi],H108)</f>
        <v>18</v>
      </c>
    </row>
    <row r="109" spans="1:115" ht="14.25" customHeight="1">
      <c r="A109" s="40"/>
      <c r="B109" s="40"/>
      <c r="C109" s="15"/>
      <c r="D109" s="28"/>
      <c r="E109" s="15"/>
      <c r="F109" s="41"/>
      <c r="H109" s="71" t="s">
        <v>11</v>
      </c>
      <c r="I109" s="71">
        <f>COUNTIF(Table2[Implementasi],H109)</f>
        <v>0</v>
      </c>
    </row>
    <row r="110" spans="1:115" ht="14.25" customHeight="1">
      <c r="A110" s="40"/>
      <c r="B110" s="40"/>
      <c r="C110" s="15"/>
      <c r="D110" s="28"/>
      <c r="E110" s="15"/>
      <c r="F110" s="41"/>
      <c r="H110" s="71" t="s">
        <v>529</v>
      </c>
      <c r="I110" s="71">
        <f>COUNTIF(Table2[Implementasi],H110)</f>
        <v>20</v>
      </c>
    </row>
    <row r="111" spans="1:115" ht="14.25" customHeight="1">
      <c r="A111" s="40"/>
      <c r="B111" s="40"/>
      <c r="C111" s="15"/>
      <c r="D111" s="28"/>
      <c r="E111" s="15"/>
      <c r="F111" s="41"/>
      <c r="H111" s="156" t="s">
        <v>527</v>
      </c>
      <c r="I111" s="157">
        <f>AVERAGE(Table2[Score])</f>
        <v>0.91459882583170271</v>
      </c>
    </row>
    <row r="112" spans="1:115" ht="14.25" customHeight="1">
      <c r="A112" s="40"/>
      <c r="B112" s="40"/>
      <c r="C112" s="15"/>
      <c r="D112" s="28"/>
      <c r="E112" s="15"/>
      <c r="F112" s="41"/>
    </row>
    <row r="113" spans="1:6" ht="14.25" customHeight="1">
      <c r="A113" s="40"/>
      <c r="B113" s="40"/>
      <c r="C113" s="15"/>
      <c r="D113" s="28"/>
      <c r="E113" s="15"/>
      <c r="F113" s="41"/>
    </row>
    <row r="114" spans="1:6" ht="14.25" customHeight="1">
      <c r="A114" s="40"/>
      <c r="B114" s="40"/>
      <c r="C114" s="15"/>
      <c r="D114" s="28"/>
      <c r="E114" s="15"/>
      <c r="F114" s="41"/>
    </row>
    <row r="115" spans="1:6" ht="14.25" customHeight="1">
      <c r="A115" s="40"/>
      <c r="B115" s="40"/>
      <c r="C115" s="15"/>
      <c r="D115" s="28"/>
      <c r="E115" s="15"/>
      <c r="F115" s="41"/>
    </row>
    <row r="116" spans="1:6" ht="14.25" customHeight="1">
      <c r="A116" s="40"/>
      <c r="B116" s="40"/>
      <c r="C116" s="15"/>
      <c r="D116" s="28"/>
      <c r="E116" s="15"/>
      <c r="F116" s="41"/>
    </row>
    <row r="117" spans="1:6" ht="14.25" customHeight="1">
      <c r="A117" s="40"/>
      <c r="B117" s="40"/>
      <c r="C117" s="15"/>
      <c r="D117" s="28"/>
      <c r="E117" s="15"/>
      <c r="F117" s="41"/>
    </row>
    <row r="118" spans="1:6" ht="14.25" customHeight="1">
      <c r="A118" s="40"/>
      <c r="B118" s="40"/>
      <c r="C118" s="15"/>
      <c r="D118" s="28"/>
      <c r="E118" s="15"/>
      <c r="F118" s="41"/>
    </row>
    <row r="119" spans="1:6" ht="14.25" customHeight="1">
      <c r="A119" s="40"/>
      <c r="B119" s="40"/>
      <c r="C119" s="15"/>
      <c r="D119" s="28"/>
      <c r="E119" s="15"/>
      <c r="F119" s="41"/>
    </row>
    <row r="120" spans="1:6" ht="14.25" customHeight="1">
      <c r="A120" s="40"/>
      <c r="B120" s="40"/>
      <c r="C120" s="15"/>
      <c r="D120" s="28"/>
      <c r="E120" s="15"/>
      <c r="F120" s="41"/>
    </row>
    <row r="121" spans="1:6" ht="14.25" customHeight="1">
      <c r="A121" s="40"/>
      <c r="B121" s="40"/>
      <c r="C121" s="15"/>
      <c r="D121" s="28"/>
      <c r="E121" s="15"/>
      <c r="F121" s="41"/>
    </row>
    <row r="122" spans="1:6" ht="14.25" customHeight="1">
      <c r="A122" s="40"/>
      <c r="B122" s="40"/>
      <c r="C122" s="15"/>
      <c r="D122" s="28"/>
      <c r="E122" s="15"/>
      <c r="F122" s="41"/>
    </row>
    <row r="123" spans="1:6" ht="14.25" customHeight="1">
      <c r="A123" s="40"/>
      <c r="B123" s="40"/>
      <c r="C123" s="15"/>
      <c r="D123" s="28"/>
      <c r="E123" s="15"/>
      <c r="F123" s="41"/>
    </row>
    <row r="124" spans="1:6" ht="14.25" customHeight="1">
      <c r="A124" s="40"/>
      <c r="B124" s="40"/>
      <c r="C124" s="15"/>
      <c r="D124" s="28"/>
      <c r="E124" s="15"/>
      <c r="F124" s="41"/>
    </row>
    <row r="125" spans="1:6" ht="14.25" customHeight="1">
      <c r="A125" s="40"/>
      <c r="B125" s="40"/>
      <c r="C125" s="15"/>
      <c r="D125" s="28"/>
      <c r="E125" s="15"/>
      <c r="F125" s="41"/>
    </row>
    <row r="126" spans="1:6" ht="14.25" customHeight="1">
      <c r="A126" s="40"/>
      <c r="B126" s="40"/>
      <c r="C126" s="15"/>
      <c r="D126" s="28"/>
      <c r="E126" s="15"/>
      <c r="F126" s="41"/>
    </row>
    <row r="127" spans="1:6" ht="14.25" customHeight="1">
      <c r="A127" s="40"/>
      <c r="B127" s="40"/>
      <c r="C127" s="15"/>
      <c r="D127" s="28"/>
      <c r="E127" s="15"/>
      <c r="F127" s="41"/>
    </row>
    <row r="128" spans="1:6" ht="14.25" customHeight="1">
      <c r="A128" s="40"/>
      <c r="B128" s="40"/>
      <c r="C128" s="15"/>
      <c r="D128" s="28"/>
      <c r="E128" s="15"/>
      <c r="F128" s="41"/>
    </row>
    <row r="129" spans="1:6" ht="14.25" customHeight="1">
      <c r="A129" s="40"/>
      <c r="B129" s="40"/>
      <c r="C129" s="15"/>
      <c r="D129" s="28"/>
      <c r="E129" s="15"/>
      <c r="F129" s="41"/>
    </row>
    <row r="130" spans="1:6" ht="14.25" customHeight="1">
      <c r="A130" s="40"/>
      <c r="B130" s="40"/>
      <c r="C130" s="15"/>
      <c r="D130" s="28"/>
      <c r="E130" s="15"/>
      <c r="F130" s="41"/>
    </row>
    <row r="131" spans="1:6" ht="14.25" customHeight="1">
      <c r="A131" s="40"/>
      <c r="B131" s="40"/>
      <c r="C131" s="15"/>
      <c r="D131" s="28"/>
      <c r="E131" s="15"/>
      <c r="F131" s="41"/>
    </row>
    <row r="132" spans="1:6" ht="14.25" customHeight="1">
      <c r="A132" s="40"/>
      <c r="B132" s="40"/>
      <c r="C132" s="15"/>
      <c r="D132" s="28"/>
      <c r="E132" s="15"/>
      <c r="F132" s="41"/>
    </row>
    <row r="133" spans="1:6" ht="14.25" customHeight="1">
      <c r="A133" s="40"/>
      <c r="B133" s="40"/>
      <c r="C133" s="15"/>
      <c r="D133" s="28"/>
      <c r="E133" s="15"/>
      <c r="F133" s="41"/>
    </row>
    <row r="134" spans="1:6" ht="14.25" customHeight="1">
      <c r="A134" s="40"/>
      <c r="B134" s="40"/>
      <c r="C134" s="15"/>
      <c r="D134" s="28"/>
      <c r="E134" s="15"/>
      <c r="F134" s="41"/>
    </row>
    <row r="135" spans="1:6" ht="14.25" customHeight="1">
      <c r="A135" s="40"/>
      <c r="B135" s="40"/>
      <c r="C135" s="15"/>
      <c r="D135" s="28"/>
      <c r="E135" s="15"/>
      <c r="F135" s="41"/>
    </row>
    <row r="136" spans="1:6" ht="14.25" customHeight="1">
      <c r="A136" s="40"/>
      <c r="B136" s="40"/>
      <c r="C136" s="15"/>
      <c r="D136" s="28"/>
      <c r="E136" s="15"/>
      <c r="F136" s="41"/>
    </row>
    <row r="137" spans="1:6" ht="14.25" customHeight="1">
      <c r="A137" s="40"/>
      <c r="B137" s="40"/>
      <c r="C137" s="15"/>
      <c r="D137" s="28"/>
      <c r="E137" s="15"/>
      <c r="F137" s="41"/>
    </row>
    <row r="138" spans="1:6" ht="14.25" customHeight="1">
      <c r="A138" s="40"/>
      <c r="B138" s="40"/>
      <c r="C138" s="15"/>
      <c r="D138" s="28"/>
      <c r="E138" s="15"/>
      <c r="F138" s="41"/>
    </row>
    <row r="139" spans="1:6" ht="14.25" customHeight="1">
      <c r="A139" s="40"/>
      <c r="B139" s="40"/>
      <c r="C139" s="15"/>
      <c r="D139" s="28"/>
      <c r="E139" s="15"/>
      <c r="F139" s="41"/>
    </row>
    <row r="140" spans="1:6" ht="14.25" customHeight="1">
      <c r="A140" s="40"/>
      <c r="B140" s="40"/>
      <c r="C140" s="15"/>
      <c r="D140" s="28"/>
      <c r="E140" s="15"/>
      <c r="F140" s="41"/>
    </row>
    <row r="141" spans="1:6" ht="14.25" customHeight="1">
      <c r="A141" s="40"/>
      <c r="B141" s="40"/>
      <c r="C141" s="15"/>
      <c r="D141" s="28"/>
      <c r="E141" s="15"/>
      <c r="F141" s="41"/>
    </row>
    <row r="142" spans="1:6" ht="14.25" customHeight="1">
      <c r="A142" s="40"/>
      <c r="B142" s="40"/>
      <c r="C142" s="15"/>
      <c r="D142" s="28"/>
      <c r="E142" s="15"/>
      <c r="F142" s="41"/>
    </row>
    <row r="143" spans="1:6" ht="14.25" customHeight="1">
      <c r="A143" s="40"/>
      <c r="B143" s="40"/>
      <c r="C143" s="15"/>
      <c r="D143" s="28"/>
      <c r="E143" s="15"/>
      <c r="F143" s="41"/>
    </row>
    <row r="144" spans="1:6" ht="14.25" customHeight="1">
      <c r="A144" s="40"/>
      <c r="B144" s="40"/>
      <c r="C144" s="15"/>
      <c r="D144" s="28"/>
      <c r="E144" s="15"/>
      <c r="F144" s="41"/>
    </row>
    <row r="145" spans="1:6" ht="14.25" customHeight="1">
      <c r="A145" s="40"/>
      <c r="B145" s="40"/>
      <c r="C145" s="15"/>
      <c r="D145" s="28"/>
      <c r="E145" s="15"/>
      <c r="F145" s="41"/>
    </row>
    <row r="146" spans="1:6" ht="14.25" customHeight="1">
      <c r="A146" s="40"/>
      <c r="B146" s="40"/>
      <c r="C146" s="15"/>
      <c r="D146" s="28"/>
      <c r="E146" s="15"/>
      <c r="F146" s="41"/>
    </row>
    <row r="147" spans="1:6" ht="14.25" customHeight="1">
      <c r="A147" s="40"/>
      <c r="B147" s="40"/>
      <c r="C147" s="15"/>
      <c r="D147" s="28"/>
      <c r="E147" s="15"/>
      <c r="F147" s="41"/>
    </row>
    <row r="148" spans="1:6" ht="14.25" customHeight="1">
      <c r="A148" s="40"/>
      <c r="B148" s="40"/>
      <c r="C148" s="15"/>
      <c r="D148" s="28"/>
      <c r="E148" s="15"/>
      <c r="F148" s="41"/>
    </row>
    <row r="149" spans="1:6" ht="14.25" customHeight="1">
      <c r="A149" s="40"/>
      <c r="B149" s="40"/>
      <c r="C149" s="15"/>
      <c r="D149" s="28"/>
      <c r="E149" s="15"/>
      <c r="F149" s="41"/>
    </row>
    <row r="150" spans="1:6" ht="14.25" customHeight="1">
      <c r="A150" s="40"/>
      <c r="B150" s="40"/>
      <c r="C150" s="15"/>
      <c r="D150" s="28"/>
      <c r="E150" s="15"/>
      <c r="F150" s="41"/>
    </row>
    <row r="151" spans="1:6" ht="14.25" customHeight="1">
      <c r="A151" s="40"/>
      <c r="B151" s="40"/>
      <c r="C151" s="15"/>
      <c r="D151" s="28"/>
      <c r="E151" s="15"/>
      <c r="F151" s="41"/>
    </row>
    <row r="152" spans="1:6" ht="14.25" customHeight="1">
      <c r="A152" s="40"/>
      <c r="B152" s="40"/>
      <c r="C152" s="15"/>
      <c r="D152" s="28"/>
      <c r="E152" s="15"/>
      <c r="F152" s="41"/>
    </row>
    <row r="153" spans="1:6" ht="14.25" customHeight="1">
      <c r="A153" s="40"/>
      <c r="B153" s="40"/>
      <c r="C153" s="15"/>
      <c r="D153" s="28"/>
      <c r="E153" s="15"/>
      <c r="F153" s="41"/>
    </row>
    <row r="154" spans="1:6" ht="14.25" customHeight="1">
      <c r="A154" s="40"/>
      <c r="B154" s="40"/>
      <c r="C154" s="15"/>
      <c r="D154" s="28"/>
      <c r="E154" s="15"/>
      <c r="F154" s="41"/>
    </row>
    <row r="155" spans="1:6" ht="14.25" customHeight="1">
      <c r="A155" s="40"/>
      <c r="B155" s="40"/>
      <c r="C155" s="15"/>
      <c r="D155" s="28"/>
      <c r="E155" s="15"/>
      <c r="F155" s="41"/>
    </row>
    <row r="156" spans="1:6" ht="14.25" customHeight="1">
      <c r="A156" s="40"/>
      <c r="B156" s="40"/>
      <c r="C156" s="15"/>
      <c r="D156" s="28"/>
      <c r="E156" s="15"/>
      <c r="F156" s="41"/>
    </row>
    <row r="157" spans="1:6" ht="14.25" customHeight="1">
      <c r="A157" s="40"/>
      <c r="B157" s="40"/>
      <c r="C157" s="15"/>
      <c r="D157" s="28"/>
      <c r="E157" s="15"/>
      <c r="F157" s="41"/>
    </row>
    <row r="158" spans="1:6" ht="14.25" customHeight="1">
      <c r="A158" s="40"/>
      <c r="B158" s="40"/>
      <c r="C158" s="15"/>
      <c r="D158" s="28"/>
      <c r="E158" s="15"/>
      <c r="F158" s="41"/>
    </row>
    <row r="159" spans="1:6" ht="14.25" customHeight="1">
      <c r="A159" s="40"/>
      <c r="B159" s="40"/>
      <c r="C159" s="15"/>
      <c r="D159" s="28"/>
      <c r="E159" s="15"/>
      <c r="F159" s="41"/>
    </row>
    <row r="160" spans="1:6" ht="14.25" customHeight="1">
      <c r="A160" s="40"/>
      <c r="B160" s="40"/>
      <c r="C160" s="15"/>
      <c r="D160" s="28"/>
      <c r="E160" s="15"/>
      <c r="F160" s="41"/>
    </row>
    <row r="161" spans="1:6" ht="14.25" customHeight="1">
      <c r="A161" s="40"/>
      <c r="B161" s="40"/>
      <c r="C161" s="15"/>
      <c r="D161" s="28"/>
      <c r="E161" s="15"/>
      <c r="F161" s="41"/>
    </row>
    <row r="162" spans="1:6" ht="14.25" customHeight="1">
      <c r="A162" s="40"/>
      <c r="B162" s="40"/>
      <c r="C162" s="15"/>
      <c r="D162" s="28"/>
      <c r="E162" s="15"/>
      <c r="F162" s="41"/>
    </row>
    <row r="163" spans="1:6" ht="14.25" customHeight="1">
      <c r="A163" s="40"/>
      <c r="B163" s="40"/>
      <c r="C163" s="15"/>
      <c r="D163" s="28"/>
      <c r="E163" s="15"/>
      <c r="F163" s="41"/>
    </row>
    <row r="164" spans="1:6" ht="14.25" customHeight="1">
      <c r="A164" s="40"/>
      <c r="B164" s="40"/>
      <c r="C164" s="15"/>
      <c r="D164" s="28"/>
      <c r="E164" s="15"/>
      <c r="F164" s="41"/>
    </row>
    <row r="165" spans="1:6" ht="14.25" customHeight="1">
      <c r="A165" s="40"/>
      <c r="B165" s="40"/>
      <c r="C165" s="15"/>
      <c r="D165" s="28"/>
      <c r="E165" s="15"/>
      <c r="F165" s="41"/>
    </row>
    <row r="166" spans="1:6" ht="14.25" customHeight="1">
      <c r="A166" s="40"/>
      <c r="B166" s="40"/>
      <c r="C166" s="15"/>
      <c r="D166" s="28"/>
      <c r="E166" s="15"/>
      <c r="F166" s="41"/>
    </row>
    <row r="167" spans="1:6" ht="14.25" customHeight="1">
      <c r="A167" s="40"/>
      <c r="B167" s="40"/>
      <c r="C167" s="15"/>
      <c r="D167" s="28"/>
      <c r="E167" s="15"/>
      <c r="F167" s="41"/>
    </row>
    <row r="168" spans="1:6" ht="14.25" customHeight="1">
      <c r="A168" s="40"/>
      <c r="B168" s="40"/>
      <c r="C168" s="15"/>
      <c r="D168" s="28"/>
      <c r="E168" s="15"/>
      <c r="F168" s="41"/>
    </row>
    <row r="169" spans="1:6" ht="14.25" customHeight="1">
      <c r="A169" s="40"/>
      <c r="B169" s="40"/>
      <c r="C169" s="15"/>
      <c r="D169" s="28"/>
      <c r="E169" s="15"/>
      <c r="F169" s="41"/>
    </row>
    <row r="170" spans="1:6" ht="14.25" customHeight="1">
      <c r="A170" s="40"/>
      <c r="B170" s="40"/>
      <c r="C170" s="15"/>
      <c r="D170" s="28"/>
      <c r="E170" s="15"/>
      <c r="F170" s="41"/>
    </row>
    <row r="171" spans="1:6" ht="14.25" customHeight="1">
      <c r="A171" s="40"/>
      <c r="B171" s="40"/>
      <c r="C171" s="15"/>
      <c r="D171" s="28"/>
      <c r="E171" s="15"/>
      <c r="F171" s="41"/>
    </row>
    <row r="172" spans="1:6" ht="14.25" customHeight="1">
      <c r="A172" s="40"/>
      <c r="B172" s="40"/>
      <c r="C172" s="15"/>
      <c r="D172" s="28"/>
      <c r="E172" s="15"/>
      <c r="F172" s="41"/>
    </row>
    <row r="173" spans="1:6" ht="14.25" customHeight="1">
      <c r="A173" s="40"/>
      <c r="B173" s="40"/>
      <c r="C173" s="15"/>
      <c r="D173" s="28"/>
      <c r="E173" s="15"/>
      <c r="F173" s="41"/>
    </row>
    <row r="174" spans="1:6" ht="14.25" customHeight="1">
      <c r="A174" s="40"/>
      <c r="B174" s="40"/>
      <c r="C174" s="15"/>
      <c r="D174" s="28"/>
      <c r="E174" s="15"/>
      <c r="F174" s="41"/>
    </row>
    <row r="175" spans="1:6" ht="14.25" customHeight="1">
      <c r="A175" s="40"/>
      <c r="B175" s="40"/>
      <c r="C175" s="15"/>
      <c r="D175" s="28"/>
      <c r="E175" s="15"/>
      <c r="F175" s="41"/>
    </row>
    <row r="176" spans="1:6" ht="14.25" customHeight="1">
      <c r="A176" s="40"/>
      <c r="B176" s="40"/>
      <c r="C176" s="15"/>
      <c r="D176" s="28"/>
      <c r="E176" s="15"/>
      <c r="F176" s="41"/>
    </row>
    <row r="177" spans="1:6" ht="14.25" customHeight="1">
      <c r="A177" s="40"/>
      <c r="B177" s="40"/>
      <c r="C177" s="15"/>
      <c r="D177" s="28"/>
      <c r="E177" s="15"/>
      <c r="F177" s="41"/>
    </row>
    <row r="178" spans="1:6" ht="14.25" customHeight="1">
      <c r="A178" s="40"/>
      <c r="B178" s="40"/>
      <c r="C178" s="15"/>
      <c r="D178" s="28"/>
      <c r="E178" s="15"/>
      <c r="F178" s="41"/>
    </row>
    <row r="179" spans="1:6" ht="14.25" customHeight="1">
      <c r="A179" s="40"/>
      <c r="B179" s="40"/>
      <c r="C179" s="15"/>
      <c r="D179" s="28"/>
      <c r="E179" s="15"/>
      <c r="F179" s="41"/>
    </row>
    <row r="180" spans="1:6" ht="14.25" customHeight="1">
      <c r="A180" s="40"/>
      <c r="B180" s="40"/>
      <c r="C180" s="15"/>
      <c r="D180" s="28"/>
      <c r="E180" s="15"/>
      <c r="F180" s="41"/>
    </row>
    <row r="181" spans="1:6" ht="14.25" customHeight="1">
      <c r="A181" s="40"/>
      <c r="B181" s="40"/>
      <c r="C181" s="15"/>
      <c r="D181" s="28"/>
      <c r="E181" s="15"/>
      <c r="F181" s="41"/>
    </row>
    <row r="182" spans="1:6" ht="14.25" customHeight="1">
      <c r="A182" s="40"/>
      <c r="B182" s="40"/>
      <c r="C182" s="15"/>
      <c r="D182" s="28"/>
      <c r="E182" s="15"/>
      <c r="F182" s="41"/>
    </row>
    <row r="183" spans="1:6" ht="14.25" customHeight="1">
      <c r="A183" s="40"/>
      <c r="B183" s="40"/>
      <c r="C183" s="15"/>
      <c r="D183" s="28"/>
      <c r="E183" s="15"/>
      <c r="F183" s="41"/>
    </row>
    <row r="184" spans="1:6" ht="14.25" customHeight="1">
      <c r="A184" s="40"/>
      <c r="B184" s="40"/>
      <c r="C184" s="15"/>
      <c r="D184" s="28"/>
      <c r="E184" s="15"/>
      <c r="F184" s="41"/>
    </row>
    <row r="185" spans="1:6" ht="14.25" customHeight="1">
      <c r="A185" s="40"/>
      <c r="B185" s="40"/>
      <c r="C185" s="15"/>
      <c r="D185" s="28"/>
      <c r="E185" s="15"/>
      <c r="F185" s="41"/>
    </row>
    <row r="186" spans="1:6" ht="14.25" customHeight="1">
      <c r="A186" s="40"/>
      <c r="B186" s="40"/>
      <c r="C186" s="15"/>
      <c r="D186" s="28"/>
      <c r="E186" s="15"/>
      <c r="F186" s="41"/>
    </row>
    <row r="187" spans="1:6" ht="14.25" customHeight="1">
      <c r="A187" s="40"/>
      <c r="B187" s="40"/>
      <c r="C187" s="15"/>
      <c r="D187" s="28"/>
      <c r="E187" s="15"/>
      <c r="F187" s="41"/>
    </row>
    <row r="188" spans="1:6" ht="14.25" customHeight="1">
      <c r="A188" s="40"/>
      <c r="B188" s="40"/>
      <c r="C188" s="15"/>
      <c r="D188" s="28"/>
      <c r="E188" s="15"/>
      <c r="F188" s="41"/>
    </row>
    <row r="189" spans="1:6" ht="14.25" customHeight="1">
      <c r="A189" s="40"/>
      <c r="B189" s="40"/>
      <c r="C189" s="15"/>
      <c r="D189" s="28"/>
      <c r="E189" s="15"/>
      <c r="F189" s="41"/>
    </row>
    <row r="190" spans="1:6" ht="14.25" customHeight="1">
      <c r="A190" s="40"/>
      <c r="B190" s="40"/>
      <c r="C190" s="15"/>
      <c r="D190" s="28"/>
      <c r="E190" s="15"/>
      <c r="F190" s="41"/>
    </row>
    <row r="191" spans="1:6" ht="14.25" customHeight="1">
      <c r="A191" s="40"/>
      <c r="B191" s="40"/>
      <c r="C191" s="15"/>
      <c r="D191" s="28"/>
      <c r="E191" s="15"/>
      <c r="F191" s="41"/>
    </row>
    <row r="192" spans="1:6" ht="14.25" customHeight="1">
      <c r="A192" s="40"/>
      <c r="B192" s="40"/>
      <c r="C192" s="15"/>
      <c r="D192" s="28"/>
      <c r="E192" s="15"/>
      <c r="F192" s="41"/>
    </row>
    <row r="193" spans="1:6" ht="14.25" customHeight="1">
      <c r="A193" s="40"/>
      <c r="B193" s="40"/>
      <c r="C193" s="15"/>
      <c r="D193" s="28"/>
      <c r="E193" s="15"/>
      <c r="F193" s="41"/>
    </row>
    <row r="194" spans="1:6" ht="14.25" customHeight="1">
      <c r="A194" s="40"/>
      <c r="B194" s="40"/>
      <c r="C194" s="15"/>
      <c r="D194" s="28"/>
      <c r="E194" s="15"/>
      <c r="F194" s="41"/>
    </row>
    <row r="195" spans="1:6" ht="14.25" customHeight="1">
      <c r="A195" s="40"/>
      <c r="B195" s="40"/>
      <c r="C195" s="15"/>
      <c r="D195" s="28"/>
      <c r="E195" s="15"/>
      <c r="F195" s="41"/>
    </row>
    <row r="196" spans="1:6" ht="14.25" customHeight="1">
      <c r="A196" s="40"/>
      <c r="B196" s="40"/>
      <c r="C196" s="15"/>
      <c r="D196" s="28"/>
      <c r="E196" s="15"/>
      <c r="F196" s="41"/>
    </row>
    <row r="197" spans="1:6" ht="14.25" customHeight="1">
      <c r="A197" s="40"/>
      <c r="B197" s="40"/>
      <c r="C197" s="15"/>
      <c r="D197" s="28"/>
      <c r="E197" s="15"/>
      <c r="F197" s="41"/>
    </row>
    <row r="198" spans="1:6" ht="14.25" customHeight="1">
      <c r="A198" s="40"/>
      <c r="B198" s="40"/>
      <c r="C198" s="15"/>
      <c r="D198" s="28"/>
      <c r="E198" s="15"/>
      <c r="F198" s="41"/>
    </row>
    <row r="199" spans="1:6" ht="14.25" customHeight="1">
      <c r="A199" s="40"/>
      <c r="B199" s="40"/>
      <c r="C199" s="15"/>
      <c r="D199" s="28"/>
      <c r="E199" s="15"/>
      <c r="F199" s="41"/>
    </row>
    <row r="200" spans="1:6" ht="14.25" customHeight="1">
      <c r="A200" s="40"/>
      <c r="B200" s="40"/>
      <c r="C200" s="15"/>
      <c r="D200" s="28"/>
      <c r="E200" s="15"/>
      <c r="F200" s="41"/>
    </row>
    <row r="201" spans="1:6" ht="14.25" customHeight="1">
      <c r="A201" s="40"/>
      <c r="B201" s="40"/>
      <c r="C201" s="15"/>
      <c r="D201" s="28"/>
      <c r="E201" s="15"/>
      <c r="F201" s="41"/>
    </row>
    <row r="202" spans="1:6" ht="14.25" customHeight="1">
      <c r="A202" s="40"/>
      <c r="B202" s="40"/>
      <c r="C202" s="15"/>
      <c r="D202" s="28"/>
      <c r="E202" s="15"/>
      <c r="F202" s="41"/>
    </row>
    <row r="203" spans="1:6" ht="14.25" customHeight="1">
      <c r="A203" s="40"/>
      <c r="B203" s="40"/>
      <c r="C203" s="15"/>
      <c r="D203" s="28"/>
      <c r="E203" s="15"/>
      <c r="F203" s="41"/>
    </row>
    <row r="204" spans="1:6" ht="14.25" customHeight="1">
      <c r="A204" s="40"/>
      <c r="B204" s="40"/>
      <c r="C204" s="15"/>
      <c r="D204" s="28"/>
      <c r="E204" s="15"/>
      <c r="F204" s="41"/>
    </row>
    <row r="205" spans="1:6" ht="14.25" customHeight="1">
      <c r="A205" s="40"/>
      <c r="B205" s="40"/>
      <c r="C205" s="15"/>
      <c r="D205" s="28"/>
      <c r="E205" s="15"/>
      <c r="F205" s="41"/>
    </row>
    <row r="206" spans="1:6" ht="14.25" customHeight="1">
      <c r="A206" s="40"/>
      <c r="B206" s="40"/>
      <c r="C206" s="15"/>
      <c r="D206" s="28"/>
      <c r="E206" s="15"/>
      <c r="F206" s="41"/>
    </row>
    <row r="207" spans="1:6" ht="14.25" customHeight="1">
      <c r="A207" s="40"/>
      <c r="B207" s="40"/>
      <c r="C207" s="15"/>
      <c r="D207" s="28"/>
      <c r="E207" s="15"/>
      <c r="F207" s="41"/>
    </row>
    <row r="208" spans="1:6" ht="14.25" customHeight="1">
      <c r="A208" s="40"/>
      <c r="B208" s="40"/>
      <c r="C208" s="15"/>
      <c r="D208" s="28"/>
      <c r="E208" s="15"/>
      <c r="F208" s="41"/>
    </row>
    <row r="209" spans="1:6" ht="14.25" customHeight="1">
      <c r="A209" s="40"/>
      <c r="B209" s="40"/>
      <c r="C209" s="15"/>
      <c r="D209" s="28"/>
      <c r="E209" s="15"/>
      <c r="F209" s="41"/>
    </row>
    <row r="210" spans="1:6" ht="14.25" customHeight="1">
      <c r="A210" s="40"/>
      <c r="B210" s="40"/>
      <c r="C210" s="15"/>
      <c r="D210" s="28"/>
      <c r="E210" s="15"/>
      <c r="F210" s="41"/>
    </row>
    <row r="211" spans="1:6" ht="14.25" customHeight="1">
      <c r="A211" s="40"/>
      <c r="B211" s="40"/>
      <c r="C211" s="15"/>
      <c r="D211" s="28"/>
      <c r="E211" s="15"/>
      <c r="F211" s="41"/>
    </row>
    <row r="212" spans="1:6" ht="14.25" customHeight="1">
      <c r="A212" s="40"/>
      <c r="B212" s="40"/>
      <c r="C212" s="15"/>
      <c r="D212" s="28"/>
      <c r="E212" s="15"/>
      <c r="F212" s="41"/>
    </row>
    <row r="213" spans="1:6" ht="14.25" customHeight="1">
      <c r="A213" s="40"/>
      <c r="B213" s="40"/>
      <c r="C213" s="15"/>
      <c r="D213" s="28"/>
      <c r="E213" s="15"/>
      <c r="F213" s="41"/>
    </row>
    <row r="214" spans="1:6" ht="14.25" customHeight="1">
      <c r="A214" s="40"/>
      <c r="B214" s="40"/>
      <c r="C214" s="15"/>
      <c r="D214" s="28"/>
      <c r="E214" s="15"/>
      <c r="F214" s="41"/>
    </row>
    <row r="215" spans="1:6" ht="14.25" customHeight="1">
      <c r="A215" s="40"/>
      <c r="B215" s="40"/>
      <c r="C215" s="15"/>
      <c r="D215" s="28"/>
      <c r="E215" s="15"/>
      <c r="F215" s="41"/>
    </row>
    <row r="216" spans="1:6" ht="14.25" customHeight="1">
      <c r="A216" s="40"/>
      <c r="B216" s="40"/>
      <c r="C216" s="15"/>
      <c r="D216" s="28"/>
      <c r="E216" s="15"/>
      <c r="F216" s="41"/>
    </row>
    <row r="217" spans="1:6" ht="14.25" customHeight="1">
      <c r="A217" s="40"/>
      <c r="B217" s="40"/>
      <c r="C217" s="15"/>
      <c r="D217" s="28"/>
      <c r="E217" s="15"/>
      <c r="F217" s="41"/>
    </row>
    <row r="218" spans="1:6" ht="14.25" customHeight="1">
      <c r="A218" s="40"/>
      <c r="B218" s="40"/>
      <c r="C218" s="15"/>
      <c r="D218" s="28"/>
      <c r="E218" s="15"/>
      <c r="F218" s="41"/>
    </row>
    <row r="219" spans="1:6" ht="14.25" customHeight="1">
      <c r="A219" s="40"/>
      <c r="B219" s="40"/>
      <c r="C219" s="15"/>
      <c r="D219" s="28"/>
      <c r="E219" s="15"/>
      <c r="F219" s="41"/>
    </row>
    <row r="220" spans="1:6" ht="14.25" customHeight="1">
      <c r="A220" s="40"/>
      <c r="B220" s="40"/>
      <c r="C220" s="15"/>
      <c r="D220" s="28"/>
      <c r="E220" s="15"/>
      <c r="F220" s="41"/>
    </row>
    <row r="221" spans="1:6" ht="14.25" customHeight="1">
      <c r="A221" s="40"/>
      <c r="B221" s="40"/>
      <c r="C221" s="15"/>
      <c r="D221" s="28"/>
      <c r="E221" s="15"/>
      <c r="F221" s="41"/>
    </row>
    <row r="222" spans="1:6" ht="14.25" customHeight="1">
      <c r="A222" s="40"/>
      <c r="B222" s="40"/>
      <c r="C222" s="15"/>
      <c r="D222" s="28"/>
      <c r="E222" s="15"/>
      <c r="F222" s="41"/>
    </row>
    <row r="223" spans="1:6" ht="14.25" customHeight="1">
      <c r="A223" s="40"/>
      <c r="B223" s="40"/>
      <c r="C223" s="15"/>
      <c r="D223" s="28"/>
      <c r="E223" s="15"/>
      <c r="F223" s="41"/>
    </row>
    <row r="224" spans="1:6" ht="14.25" customHeight="1">
      <c r="A224" s="40"/>
      <c r="B224" s="40"/>
      <c r="C224" s="15"/>
      <c r="D224" s="28"/>
      <c r="E224" s="15"/>
      <c r="F224" s="41"/>
    </row>
    <row r="225" spans="1:6" ht="14.25" customHeight="1">
      <c r="A225" s="40"/>
      <c r="B225" s="40"/>
      <c r="C225" s="15"/>
      <c r="D225" s="28"/>
      <c r="E225" s="15"/>
      <c r="F225" s="41"/>
    </row>
    <row r="226" spans="1:6" ht="14.25" customHeight="1">
      <c r="A226" s="40"/>
      <c r="B226" s="40"/>
      <c r="C226" s="15"/>
      <c r="D226" s="28"/>
      <c r="E226" s="15"/>
      <c r="F226" s="41"/>
    </row>
    <row r="227" spans="1:6" ht="14.25" customHeight="1">
      <c r="A227" s="40"/>
      <c r="B227" s="40"/>
      <c r="C227" s="15"/>
      <c r="D227" s="28"/>
      <c r="E227" s="15"/>
      <c r="F227" s="41"/>
    </row>
    <row r="228" spans="1:6" ht="14.25" customHeight="1">
      <c r="A228" s="40"/>
      <c r="B228" s="40"/>
      <c r="C228" s="15"/>
      <c r="D228" s="28"/>
      <c r="E228" s="15"/>
      <c r="F228" s="41"/>
    </row>
    <row r="229" spans="1:6" ht="14.25" customHeight="1">
      <c r="A229" s="40"/>
      <c r="B229" s="40"/>
      <c r="C229" s="15"/>
      <c r="D229" s="28"/>
      <c r="E229" s="15"/>
      <c r="F229" s="41"/>
    </row>
    <row r="230" spans="1:6" ht="14.25" customHeight="1">
      <c r="A230" s="40"/>
      <c r="B230" s="40"/>
      <c r="C230" s="15"/>
      <c r="D230" s="28"/>
      <c r="E230" s="15"/>
      <c r="F230" s="41"/>
    </row>
    <row r="231" spans="1:6" ht="14.25" customHeight="1">
      <c r="A231" s="40"/>
      <c r="B231" s="40"/>
      <c r="C231" s="15"/>
      <c r="D231" s="28"/>
      <c r="E231" s="15"/>
      <c r="F231" s="41"/>
    </row>
    <row r="232" spans="1:6" ht="14.25" customHeight="1">
      <c r="A232" s="40"/>
      <c r="B232" s="40"/>
      <c r="C232" s="15"/>
      <c r="D232" s="28"/>
      <c r="E232" s="15"/>
      <c r="F232" s="41"/>
    </row>
    <row r="233" spans="1:6" ht="14.25" customHeight="1">
      <c r="A233" s="40"/>
      <c r="B233" s="40"/>
      <c r="C233" s="15"/>
      <c r="D233" s="28"/>
      <c r="E233" s="15"/>
      <c r="F233" s="41"/>
    </row>
    <row r="234" spans="1:6" ht="14.25" customHeight="1">
      <c r="A234" s="40"/>
      <c r="B234" s="40"/>
      <c r="C234" s="15"/>
      <c r="D234" s="28"/>
      <c r="E234" s="15"/>
      <c r="F234" s="41"/>
    </row>
    <row r="235" spans="1:6" ht="14.25" customHeight="1">
      <c r="A235" s="40"/>
      <c r="B235" s="40"/>
      <c r="C235" s="15"/>
      <c r="D235" s="28"/>
      <c r="E235" s="15"/>
      <c r="F235" s="41"/>
    </row>
    <row r="236" spans="1:6" ht="14.25" customHeight="1">
      <c r="A236" s="40"/>
      <c r="B236" s="40"/>
      <c r="C236" s="15"/>
      <c r="D236" s="28"/>
      <c r="E236" s="15"/>
      <c r="F236" s="41"/>
    </row>
    <row r="237" spans="1:6" ht="14.25" customHeight="1">
      <c r="A237" s="40"/>
      <c r="B237" s="40"/>
      <c r="C237" s="15"/>
      <c r="D237" s="28"/>
      <c r="E237" s="15"/>
      <c r="F237" s="41"/>
    </row>
    <row r="238" spans="1:6" ht="14.25" customHeight="1">
      <c r="A238" s="40"/>
      <c r="B238" s="40"/>
      <c r="C238" s="15"/>
      <c r="D238" s="28"/>
      <c r="E238" s="15"/>
      <c r="F238" s="41"/>
    </row>
    <row r="239" spans="1:6" ht="14.25" customHeight="1">
      <c r="A239" s="40"/>
      <c r="B239" s="40"/>
      <c r="C239" s="15"/>
      <c r="D239" s="28"/>
      <c r="E239" s="15"/>
      <c r="F239" s="41"/>
    </row>
    <row r="240" spans="1:6" ht="14.25" customHeight="1">
      <c r="A240" s="40"/>
      <c r="B240" s="40"/>
      <c r="C240" s="15"/>
      <c r="D240" s="28"/>
      <c r="E240" s="15"/>
      <c r="F240" s="41"/>
    </row>
    <row r="241" spans="1:6" ht="14.25" customHeight="1">
      <c r="A241" s="40"/>
      <c r="B241" s="40"/>
      <c r="C241" s="15"/>
      <c r="D241" s="28"/>
      <c r="E241" s="15"/>
      <c r="F241" s="41"/>
    </row>
    <row r="242" spans="1:6" ht="14.25" customHeight="1">
      <c r="A242" s="40"/>
      <c r="B242" s="40"/>
      <c r="C242" s="15"/>
      <c r="D242" s="28"/>
      <c r="E242" s="15"/>
      <c r="F242" s="41"/>
    </row>
    <row r="243" spans="1:6" ht="14.25" customHeight="1">
      <c r="A243" s="40"/>
      <c r="B243" s="40"/>
      <c r="C243" s="15"/>
      <c r="D243" s="28"/>
      <c r="E243" s="15"/>
      <c r="F243" s="41"/>
    </row>
    <row r="244" spans="1:6" ht="14.25" customHeight="1">
      <c r="A244" s="40"/>
      <c r="B244" s="40"/>
      <c r="C244" s="15"/>
      <c r="D244" s="28"/>
      <c r="E244" s="15"/>
      <c r="F244" s="41"/>
    </row>
    <row r="245" spans="1:6" ht="14.25" customHeight="1">
      <c r="A245" s="40"/>
      <c r="B245" s="40"/>
      <c r="C245" s="15"/>
      <c r="D245" s="28"/>
      <c r="E245" s="15"/>
      <c r="F245" s="41"/>
    </row>
    <row r="246" spans="1:6" ht="14.25" customHeight="1">
      <c r="A246" s="40"/>
      <c r="B246" s="40"/>
      <c r="C246" s="15"/>
      <c r="D246" s="28"/>
      <c r="E246" s="15"/>
      <c r="F246" s="41"/>
    </row>
    <row r="247" spans="1:6" ht="14.25" customHeight="1">
      <c r="A247" s="40"/>
      <c r="B247" s="40"/>
      <c r="C247" s="15"/>
      <c r="D247" s="28"/>
      <c r="E247" s="15"/>
      <c r="F247" s="41"/>
    </row>
    <row r="248" spans="1:6" ht="14.25" customHeight="1">
      <c r="A248" s="40"/>
      <c r="B248" s="40"/>
      <c r="C248" s="15"/>
      <c r="D248" s="28"/>
      <c r="E248" s="15"/>
      <c r="F248" s="41"/>
    </row>
    <row r="249" spans="1:6" ht="14.25" customHeight="1">
      <c r="A249" s="40"/>
      <c r="B249" s="40"/>
      <c r="C249" s="15"/>
      <c r="D249" s="28"/>
      <c r="E249" s="15"/>
      <c r="F249" s="41"/>
    </row>
    <row r="250" spans="1:6" ht="14.25" customHeight="1">
      <c r="A250" s="40"/>
      <c r="B250" s="40"/>
      <c r="C250" s="15"/>
      <c r="D250" s="28"/>
      <c r="E250" s="15"/>
      <c r="F250" s="41"/>
    </row>
    <row r="251" spans="1:6" ht="14.25" customHeight="1">
      <c r="A251" s="40"/>
      <c r="B251" s="40"/>
      <c r="C251" s="15"/>
      <c r="D251" s="28"/>
      <c r="E251" s="15"/>
      <c r="F251" s="41"/>
    </row>
    <row r="252" spans="1:6" ht="14.25" customHeight="1">
      <c r="A252" s="40"/>
      <c r="B252" s="40"/>
      <c r="C252" s="15"/>
      <c r="D252" s="28"/>
      <c r="E252" s="15"/>
      <c r="F252" s="41"/>
    </row>
    <row r="253" spans="1:6" ht="14.25" customHeight="1">
      <c r="A253" s="40"/>
      <c r="B253" s="40"/>
      <c r="C253" s="15"/>
      <c r="D253" s="28"/>
      <c r="E253" s="15"/>
      <c r="F253" s="41"/>
    </row>
    <row r="254" spans="1:6" ht="14.25" customHeight="1">
      <c r="A254" s="40"/>
      <c r="B254" s="40"/>
      <c r="C254" s="15"/>
      <c r="D254" s="28"/>
      <c r="E254" s="15"/>
      <c r="F254" s="41"/>
    </row>
    <row r="255" spans="1:6" ht="14.25" customHeight="1">
      <c r="A255" s="40"/>
      <c r="B255" s="40"/>
      <c r="C255" s="15"/>
      <c r="D255" s="28"/>
      <c r="E255" s="15"/>
      <c r="F255" s="41"/>
    </row>
    <row r="256" spans="1:6" ht="14.25" customHeight="1">
      <c r="A256" s="40"/>
      <c r="B256" s="40"/>
      <c r="C256" s="15"/>
      <c r="D256" s="28"/>
      <c r="E256" s="15"/>
      <c r="F256" s="41"/>
    </row>
    <row r="257" spans="1:6" ht="14.25" customHeight="1">
      <c r="A257" s="40"/>
      <c r="B257" s="40"/>
      <c r="C257" s="15"/>
      <c r="D257" s="28"/>
      <c r="E257" s="15"/>
      <c r="F257" s="41"/>
    </row>
    <row r="258" spans="1:6" ht="14.25" customHeight="1">
      <c r="A258" s="40"/>
      <c r="B258" s="40"/>
      <c r="C258" s="15"/>
      <c r="D258" s="28"/>
      <c r="E258" s="15"/>
      <c r="F258" s="41"/>
    </row>
    <row r="259" spans="1:6" ht="14.25" customHeight="1">
      <c r="A259" s="40"/>
      <c r="B259" s="40"/>
      <c r="C259" s="15"/>
      <c r="D259" s="28"/>
      <c r="E259" s="15"/>
      <c r="F259" s="41"/>
    </row>
    <row r="260" spans="1:6" ht="14.25" customHeight="1">
      <c r="A260" s="40"/>
      <c r="B260" s="40"/>
      <c r="C260" s="15"/>
      <c r="D260" s="28"/>
      <c r="E260" s="15"/>
      <c r="F260" s="41"/>
    </row>
    <row r="261" spans="1:6" ht="14.25" customHeight="1">
      <c r="A261" s="40"/>
      <c r="B261" s="40"/>
      <c r="C261" s="15"/>
      <c r="D261" s="28"/>
      <c r="E261" s="15"/>
      <c r="F261" s="41"/>
    </row>
    <row r="262" spans="1:6" ht="14.25" customHeight="1">
      <c r="A262" s="40"/>
      <c r="B262" s="40"/>
      <c r="C262" s="15"/>
      <c r="D262" s="28"/>
      <c r="E262" s="15"/>
      <c r="F262" s="41"/>
    </row>
    <row r="263" spans="1:6" ht="14.25" customHeight="1">
      <c r="A263" s="40"/>
      <c r="B263" s="40"/>
      <c r="C263" s="15"/>
      <c r="D263" s="28"/>
      <c r="E263" s="15"/>
      <c r="F263" s="41"/>
    </row>
    <row r="264" spans="1:6" ht="14.25" customHeight="1">
      <c r="A264" s="40"/>
      <c r="B264" s="40"/>
      <c r="C264" s="15"/>
      <c r="D264" s="28"/>
      <c r="E264" s="15"/>
      <c r="F264" s="41"/>
    </row>
    <row r="265" spans="1:6" ht="14.25" customHeight="1">
      <c r="A265" s="40"/>
      <c r="B265" s="40"/>
      <c r="C265" s="15"/>
      <c r="D265" s="28"/>
      <c r="E265" s="15"/>
      <c r="F265" s="41"/>
    </row>
    <row r="266" spans="1:6" ht="14.25" customHeight="1">
      <c r="A266" s="40"/>
      <c r="B266" s="40"/>
      <c r="C266" s="15"/>
      <c r="D266" s="28"/>
      <c r="E266" s="15"/>
      <c r="F266" s="41"/>
    </row>
    <row r="267" spans="1:6" ht="14.25" customHeight="1">
      <c r="A267" s="40"/>
      <c r="B267" s="40"/>
      <c r="C267" s="15"/>
      <c r="D267" s="28"/>
      <c r="E267" s="15"/>
      <c r="F267" s="41"/>
    </row>
    <row r="268" spans="1:6" ht="14.25" customHeight="1">
      <c r="A268" s="40"/>
      <c r="B268" s="40"/>
      <c r="C268" s="15"/>
      <c r="D268" s="28"/>
      <c r="E268" s="15"/>
      <c r="F268" s="41"/>
    </row>
    <row r="269" spans="1:6" ht="14.25" customHeight="1">
      <c r="A269" s="40"/>
      <c r="B269" s="40"/>
      <c r="C269" s="15"/>
      <c r="D269" s="28"/>
      <c r="E269" s="15"/>
      <c r="F269" s="41"/>
    </row>
    <row r="270" spans="1:6" ht="14.25" customHeight="1">
      <c r="A270" s="40"/>
      <c r="B270" s="40"/>
      <c r="C270" s="15"/>
      <c r="D270" s="28"/>
      <c r="E270" s="15"/>
      <c r="F270" s="41"/>
    </row>
    <row r="271" spans="1:6" ht="14.25" customHeight="1">
      <c r="A271" s="40"/>
      <c r="B271" s="40"/>
      <c r="C271" s="15"/>
      <c r="D271" s="28"/>
      <c r="E271" s="15"/>
      <c r="F271" s="41"/>
    </row>
    <row r="272" spans="1:6" ht="14.25" customHeight="1">
      <c r="A272" s="40"/>
      <c r="B272" s="40"/>
      <c r="C272" s="15"/>
      <c r="D272" s="28"/>
      <c r="E272" s="15"/>
      <c r="F272" s="41"/>
    </row>
    <row r="273" spans="1:6" ht="14.25" customHeight="1">
      <c r="A273" s="40"/>
      <c r="B273" s="40"/>
      <c r="C273" s="15"/>
      <c r="D273" s="28"/>
      <c r="E273" s="15"/>
      <c r="F273" s="41"/>
    </row>
    <row r="274" spans="1:6" ht="14.25" customHeight="1">
      <c r="A274" s="40"/>
      <c r="B274" s="40"/>
      <c r="C274" s="15"/>
      <c r="D274" s="28"/>
      <c r="E274" s="15"/>
      <c r="F274" s="41"/>
    </row>
    <row r="275" spans="1:6" ht="14.25" customHeight="1">
      <c r="A275" s="40"/>
      <c r="B275" s="40"/>
      <c r="C275" s="15"/>
      <c r="D275" s="28"/>
      <c r="E275" s="15"/>
      <c r="F275" s="41"/>
    </row>
    <row r="276" spans="1:6" ht="14.25" customHeight="1">
      <c r="A276" s="40"/>
      <c r="B276" s="40"/>
      <c r="C276" s="15"/>
      <c r="D276" s="28"/>
      <c r="E276" s="15"/>
      <c r="F276" s="41"/>
    </row>
    <row r="277" spans="1:6" ht="14.25" customHeight="1">
      <c r="A277" s="40"/>
      <c r="B277" s="40"/>
      <c r="C277" s="15"/>
      <c r="D277" s="28"/>
      <c r="E277" s="15"/>
      <c r="F277" s="41"/>
    </row>
    <row r="278" spans="1:6" ht="14.25" customHeight="1">
      <c r="A278" s="40"/>
      <c r="B278" s="40"/>
      <c r="C278" s="15"/>
      <c r="D278" s="28"/>
      <c r="E278" s="15"/>
      <c r="F278" s="41"/>
    </row>
    <row r="279" spans="1:6" ht="14.25" customHeight="1">
      <c r="A279" s="40"/>
      <c r="B279" s="40"/>
      <c r="C279" s="15"/>
      <c r="D279" s="28"/>
      <c r="E279" s="15"/>
      <c r="F279" s="41"/>
    </row>
    <row r="280" spans="1:6" ht="14.25" customHeight="1">
      <c r="A280" s="40"/>
      <c r="B280" s="40"/>
      <c r="C280" s="15"/>
      <c r="D280" s="28"/>
      <c r="E280" s="15"/>
      <c r="F280" s="41"/>
    </row>
    <row r="281" spans="1:6" ht="14.25" customHeight="1">
      <c r="A281" s="40"/>
      <c r="B281" s="40"/>
      <c r="C281" s="15"/>
      <c r="D281" s="28"/>
      <c r="E281" s="15"/>
      <c r="F281" s="41"/>
    </row>
    <row r="282" spans="1:6" ht="14.25" customHeight="1">
      <c r="A282" s="40"/>
      <c r="B282" s="40"/>
      <c r="C282" s="15"/>
      <c r="D282" s="28"/>
      <c r="E282" s="15"/>
      <c r="F282" s="41"/>
    </row>
    <row r="283" spans="1:6" ht="14.25" customHeight="1">
      <c r="A283" s="40"/>
      <c r="B283" s="40"/>
      <c r="C283" s="15"/>
      <c r="D283" s="28"/>
      <c r="E283" s="15"/>
      <c r="F283" s="41"/>
    </row>
    <row r="284" spans="1:6" ht="14.25" customHeight="1">
      <c r="A284" s="40"/>
      <c r="B284" s="40"/>
      <c r="C284" s="15"/>
      <c r="D284" s="28"/>
      <c r="E284" s="15"/>
      <c r="F284" s="41"/>
    </row>
    <row r="285" spans="1:6" ht="14.25" customHeight="1">
      <c r="A285" s="40"/>
      <c r="B285" s="40"/>
      <c r="C285" s="15"/>
      <c r="D285" s="28"/>
      <c r="E285" s="15"/>
      <c r="F285" s="41"/>
    </row>
    <row r="286" spans="1:6" ht="14.25" customHeight="1">
      <c r="A286" s="40"/>
      <c r="B286" s="40"/>
      <c r="C286" s="15"/>
      <c r="D286" s="28"/>
      <c r="E286" s="15"/>
      <c r="F286" s="41"/>
    </row>
    <row r="287" spans="1:6" ht="14.25" customHeight="1">
      <c r="A287" s="40"/>
      <c r="B287" s="40"/>
      <c r="C287" s="15"/>
      <c r="D287" s="28"/>
      <c r="E287" s="15"/>
      <c r="F287" s="41"/>
    </row>
    <row r="288" spans="1:6" ht="14.25" customHeight="1">
      <c r="A288" s="40"/>
      <c r="B288" s="40"/>
      <c r="C288" s="15"/>
      <c r="D288" s="28"/>
      <c r="E288" s="15"/>
      <c r="F288" s="41"/>
    </row>
    <row r="289" spans="1:6" ht="14.25" customHeight="1">
      <c r="A289" s="40"/>
      <c r="B289" s="40"/>
      <c r="C289" s="15"/>
      <c r="D289" s="28"/>
      <c r="E289" s="15"/>
      <c r="F289" s="41"/>
    </row>
    <row r="290" spans="1:6" ht="14.25" customHeight="1">
      <c r="A290" s="40"/>
      <c r="B290" s="40"/>
      <c r="C290" s="15"/>
      <c r="D290" s="28"/>
      <c r="E290" s="15"/>
      <c r="F290" s="41"/>
    </row>
    <row r="291" spans="1:6" ht="14.25" customHeight="1">
      <c r="A291" s="40"/>
      <c r="B291" s="40"/>
      <c r="C291" s="15"/>
      <c r="D291" s="28"/>
      <c r="E291" s="15"/>
      <c r="F291" s="41"/>
    </row>
    <row r="292" spans="1:6" ht="14.25" customHeight="1">
      <c r="A292" s="40"/>
      <c r="B292" s="40"/>
      <c r="C292" s="15"/>
      <c r="D292" s="28"/>
      <c r="E292" s="15"/>
      <c r="F292" s="41"/>
    </row>
    <row r="293" spans="1:6" ht="14.25" customHeight="1">
      <c r="A293" s="40"/>
      <c r="B293" s="40"/>
      <c r="C293" s="15"/>
      <c r="D293" s="28"/>
      <c r="E293" s="15"/>
      <c r="F293" s="41"/>
    </row>
    <row r="294" spans="1:6" ht="14.25" customHeight="1">
      <c r="A294" s="40"/>
      <c r="B294" s="40"/>
      <c r="C294" s="15"/>
      <c r="D294" s="28"/>
      <c r="E294" s="15"/>
      <c r="F294" s="41"/>
    </row>
    <row r="295" spans="1:6" ht="14.25" customHeight="1">
      <c r="A295" s="40"/>
      <c r="B295" s="40"/>
      <c r="C295" s="15"/>
      <c r="D295" s="28"/>
      <c r="E295" s="15"/>
      <c r="F295" s="41"/>
    </row>
    <row r="296" spans="1:6" ht="14.25" customHeight="1">
      <c r="A296" s="40"/>
      <c r="B296" s="40"/>
      <c r="C296" s="15"/>
      <c r="D296" s="28"/>
      <c r="E296" s="15"/>
      <c r="F296" s="41"/>
    </row>
    <row r="297" spans="1:6" ht="14.25" customHeight="1">
      <c r="A297" s="40"/>
      <c r="B297" s="40"/>
      <c r="C297" s="15"/>
      <c r="D297" s="28"/>
      <c r="E297" s="15"/>
      <c r="F297" s="41"/>
    </row>
    <row r="298" spans="1:6" ht="14.25" customHeight="1">
      <c r="A298" s="40"/>
      <c r="B298" s="40"/>
      <c r="C298" s="15"/>
      <c r="D298" s="28"/>
      <c r="E298" s="15"/>
      <c r="F298" s="41"/>
    </row>
    <row r="299" spans="1:6" ht="14.25" customHeight="1">
      <c r="A299" s="40"/>
      <c r="B299" s="40"/>
      <c r="C299" s="15"/>
      <c r="D299" s="28"/>
      <c r="E299" s="15"/>
      <c r="F299" s="41"/>
    </row>
    <row r="300" spans="1:6" ht="14.25" customHeight="1">
      <c r="A300" s="40"/>
      <c r="B300" s="40"/>
      <c r="C300" s="15"/>
      <c r="D300" s="28"/>
      <c r="E300" s="15"/>
      <c r="F300" s="41"/>
    </row>
    <row r="301" spans="1:6" ht="14.25" customHeight="1">
      <c r="A301" s="40"/>
      <c r="B301" s="40"/>
      <c r="C301" s="15"/>
      <c r="D301" s="28"/>
      <c r="E301" s="15"/>
      <c r="F301" s="41"/>
    </row>
    <row r="302" spans="1:6" ht="14.25" customHeight="1">
      <c r="A302" s="40"/>
      <c r="B302" s="40"/>
      <c r="C302" s="15"/>
      <c r="D302" s="28"/>
      <c r="E302" s="15"/>
      <c r="F302" s="41"/>
    </row>
    <row r="303" spans="1:6" ht="14.25" customHeight="1">
      <c r="A303" s="40"/>
      <c r="B303" s="40"/>
      <c r="C303" s="15"/>
      <c r="D303" s="28"/>
      <c r="E303" s="15"/>
      <c r="F303" s="41"/>
    </row>
    <row r="304" spans="1:6" ht="14.25" customHeight="1">
      <c r="A304" s="40"/>
      <c r="B304" s="40"/>
      <c r="C304" s="15"/>
      <c r="D304" s="28"/>
      <c r="E304" s="15"/>
      <c r="F304" s="41"/>
    </row>
    <row r="305" spans="1:6" ht="14.25" customHeight="1">
      <c r="A305" s="40"/>
      <c r="B305" s="40"/>
      <c r="C305" s="15"/>
      <c r="D305" s="28"/>
      <c r="E305" s="15"/>
      <c r="F305" s="41"/>
    </row>
    <row r="306" spans="1:6" ht="14.25" customHeight="1">
      <c r="A306" s="40"/>
      <c r="B306" s="40"/>
      <c r="C306" s="15"/>
      <c r="D306" s="28"/>
      <c r="E306" s="15"/>
      <c r="F306" s="41"/>
    </row>
    <row r="307" spans="1:6" ht="14.25" customHeight="1">
      <c r="A307" s="40"/>
      <c r="B307" s="40"/>
      <c r="C307" s="15"/>
      <c r="D307" s="28"/>
      <c r="E307" s="15"/>
      <c r="F307" s="41"/>
    </row>
    <row r="308" spans="1:6" ht="14.25" customHeight="1">
      <c r="A308" s="40"/>
      <c r="B308" s="40"/>
      <c r="C308" s="15"/>
      <c r="D308" s="28"/>
      <c r="E308" s="15"/>
      <c r="F308" s="41"/>
    </row>
    <row r="309" spans="1:6" ht="14.25" customHeight="1">
      <c r="A309" s="40"/>
      <c r="B309" s="40"/>
      <c r="C309" s="15"/>
      <c r="D309" s="28"/>
      <c r="E309" s="15"/>
      <c r="F309" s="41"/>
    </row>
    <row r="310" spans="1:6" ht="14.25" customHeight="1">
      <c r="A310" s="40"/>
      <c r="B310" s="40"/>
      <c r="C310" s="15"/>
      <c r="D310" s="28"/>
      <c r="E310" s="15"/>
      <c r="F310" s="41"/>
    </row>
    <row r="311" spans="1:6" ht="14.25" customHeight="1">
      <c r="A311" s="40"/>
      <c r="B311" s="40"/>
      <c r="C311" s="15"/>
      <c r="D311" s="28"/>
      <c r="E311" s="15"/>
      <c r="F311" s="41"/>
    </row>
    <row r="312" spans="1:6" ht="14.25" customHeight="1">
      <c r="A312" s="40"/>
      <c r="B312" s="40"/>
      <c r="C312" s="15"/>
      <c r="D312" s="28"/>
      <c r="E312" s="15"/>
      <c r="F312" s="41"/>
    </row>
    <row r="313" spans="1:6" ht="14.25" customHeight="1">
      <c r="A313" s="40"/>
      <c r="B313" s="40"/>
      <c r="C313" s="15"/>
      <c r="D313" s="28"/>
      <c r="E313" s="15"/>
      <c r="F313" s="41"/>
    </row>
    <row r="314" spans="1:6" ht="14.25" customHeight="1">
      <c r="A314" s="40"/>
      <c r="B314" s="40"/>
      <c r="C314" s="15"/>
      <c r="D314" s="28"/>
      <c r="E314" s="15"/>
      <c r="F314" s="41"/>
    </row>
    <row r="315" spans="1:6" ht="14.25" customHeight="1">
      <c r="A315" s="40"/>
      <c r="B315" s="40"/>
      <c r="C315" s="15"/>
      <c r="D315" s="28"/>
      <c r="E315" s="15"/>
      <c r="F315" s="41"/>
    </row>
    <row r="316" spans="1:6" ht="14.25" customHeight="1">
      <c r="A316" s="40"/>
      <c r="B316" s="40"/>
      <c r="C316" s="15"/>
      <c r="D316" s="28"/>
      <c r="E316" s="15"/>
      <c r="F316" s="41"/>
    </row>
    <row r="317" spans="1:6" ht="14.25" customHeight="1">
      <c r="A317" s="40"/>
      <c r="B317" s="40"/>
      <c r="C317" s="15"/>
      <c r="D317" s="28"/>
      <c r="E317" s="15"/>
      <c r="F317" s="41"/>
    </row>
    <row r="318" spans="1:6" ht="14.25" customHeight="1">
      <c r="A318" s="40"/>
      <c r="B318" s="40"/>
      <c r="C318" s="15"/>
      <c r="D318" s="28"/>
      <c r="E318" s="15"/>
      <c r="F318" s="41"/>
    </row>
    <row r="319" spans="1:6" ht="14.25" customHeight="1">
      <c r="A319" s="40"/>
      <c r="B319" s="40"/>
      <c r="C319" s="15"/>
      <c r="D319" s="28"/>
      <c r="E319" s="15"/>
      <c r="F319" s="41"/>
    </row>
    <row r="320" spans="1:6" ht="14.25" customHeight="1">
      <c r="A320" s="40"/>
      <c r="B320" s="40"/>
      <c r="C320" s="15"/>
      <c r="D320" s="28"/>
      <c r="E320" s="15"/>
      <c r="F320" s="41"/>
    </row>
    <row r="321" spans="1:6" ht="14.25" customHeight="1">
      <c r="A321" s="40"/>
      <c r="B321" s="40"/>
      <c r="C321" s="15"/>
      <c r="D321" s="28"/>
      <c r="E321" s="15"/>
      <c r="F321" s="41"/>
    </row>
    <row r="322" spans="1:6" ht="14.25" customHeight="1">
      <c r="A322" s="40"/>
      <c r="B322" s="40"/>
      <c r="C322" s="15"/>
      <c r="D322" s="28"/>
      <c r="E322" s="15"/>
      <c r="F322" s="41"/>
    </row>
    <row r="323" spans="1:6" ht="14.25" customHeight="1">
      <c r="A323" s="40"/>
      <c r="B323" s="40"/>
      <c r="C323" s="15"/>
      <c r="D323" s="28"/>
      <c r="E323" s="15"/>
      <c r="F323" s="41"/>
    </row>
    <row r="324" spans="1:6" ht="14.25" customHeight="1">
      <c r="A324" s="40"/>
      <c r="B324" s="40"/>
      <c r="C324" s="15"/>
      <c r="D324" s="28"/>
      <c r="E324" s="15"/>
      <c r="F324" s="41"/>
    </row>
    <row r="325" spans="1:6" ht="14.25" customHeight="1">
      <c r="A325" s="40"/>
      <c r="B325" s="40"/>
      <c r="C325" s="15"/>
      <c r="D325" s="28"/>
      <c r="E325" s="15"/>
      <c r="F325" s="41"/>
    </row>
    <row r="326" spans="1:6" ht="14.25" customHeight="1">
      <c r="A326" s="40"/>
      <c r="B326" s="40"/>
      <c r="C326" s="15"/>
      <c r="D326" s="28"/>
      <c r="E326" s="15"/>
      <c r="F326" s="41"/>
    </row>
    <row r="327" spans="1:6" ht="14.25" customHeight="1">
      <c r="A327" s="40"/>
      <c r="B327" s="40"/>
      <c r="C327" s="15"/>
      <c r="D327" s="28"/>
      <c r="E327" s="15"/>
      <c r="F327" s="41"/>
    </row>
    <row r="328" spans="1:6" ht="14.25" customHeight="1">
      <c r="A328" s="40"/>
      <c r="B328" s="40"/>
      <c r="C328" s="15"/>
      <c r="D328" s="28"/>
      <c r="E328" s="15"/>
      <c r="F328" s="41"/>
    </row>
    <row r="329" spans="1:6" ht="14.25" customHeight="1">
      <c r="A329" s="40"/>
      <c r="B329" s="40"/>
      <c r="C329" s="15"/>
      <c r="D329" s="28"/>
      <c r="E329" s="15"/>
      <c r="F329" s="41"/>
    </row>
    <row r="330" spans="1:6" ht="14.25" customHeight="1">
      <c r="A330" s="40"/>
      <c r="B330" s="40"/>
      <c r="C330" s="15"/>
      <c r="D330" s="28"/>
      <c r="E330" s="15"/>
      <c r="F330" s="41"/>
    </row>
    <row r="331" spans="1:6" ht="14.25" customHeight="1">
      <c r="A331" s="40"/>
      <c r="B331" s="40"/>
      <c r="C331" s="15"/>
      <c r="D331" s="28"/>
      <c r="E331" s="15"/>
      <c r="F331" s="41"/>
    </row>
    <row r="332" spans="1:6" ht="14.25" customHeight="1">
      <c r="A332" s="40"/>
      <c r="B332" s="40"/>
      <c r="C332" s="15"/>
      <c r="D332" s="28"/>
      <c r="E332" s="15"/>
      <c r="F332" s="41"/>
    </row>
    <row r="333" spans="1:6" ht="14.25" customHeight="1">
      <c r="A333" s="40"/>
      <c r="B333" s="40"/>
      <c r="C333" s="15"/>
      <c r="D333" s="28"/>
      <c r="E333" s="15"/>
      <c r="F333" s="41"/>
    </row>
    <row r="334" spans="1:6" ht="14.25" customHeight="1">
      <c r="A334" s="40"/>
      <c r="B334" s="40"/>
      <c r="C334" s="15"/>
      <c r="D334" s="28"/>
      <c r="E334" s="15"/>
      <c r="F334" s="41"/>
    </row>
    <row r="335" spans="1:6" ht="14.25" customHeight="1">
      <c r="A335" s="40"/>
      <c r="B335" s="40"/>
      <c r="C335" s="15"/>
      <c r="D335" s="28"/>
      <c r="E335" s="15"/>
      <c r="F335" s="41"/>
    </row>
    <row r="336" spans="1:6" ht="14.25" customHeight="1">
      <c r="A336" s="40"/>
      <c r="B336" s="40"/>
      <c r="C336" s="15"/>
      <c r="D336" s="28"/>
      <c r="E336" s="15"/>
      <c r="F336" s="41"/>
    </row>
    <row r="337" spans="1:6" ht="14.25" customHeight="1">
      <c r="A337" s="40"/>
      <c r="B337" s="40"/>
      <c r="C337" s="15"/>
      <c r="D337" s="28"/>
      <c r="E337" s="15"/>
      <c r="F337" s="41"/>
    </row>
    <row r="338" spans="1:6" ht="14.25" customHeight="1">
      <c r="A338" s="40"/>
      <c r="B338" s="40"/>
      <c r="C338" s="15"/>
      <c r="D338" s="28"/>
      <c r="E338" s="15"/>
      <c r="F338" s="41"/>
    </row>
    <row r="339" spans="1:6" ht="14.25" customHeight="1">
      <c r="A339" s="40"/>
      <c r="B339" s="40"/>
      <c r="C339" s="15"/>
      <c r="D339" s="28"/>
      <c r="E339" s="15"/>
      <c r="F339" s="41"/>
    </row>
    <row r="340" spans="1:6" ht="14.25" customHeight="1">
      <c r="A340" s="40"/>
      <c r="B340" s="40"/>
      <c r="C340" s="15"/>
      <c r="D340" s="28"/>
      <c r="E340" s="15"/>
      <c r="F340" s="41"/>
    </row>
    <row r="341" spans="1:6" ht="14.25" customHeight="1">
      <c r="A341" s="40"/>
      <c r="B341" s="40"/>
      <c r="C341" s="15"/>
      <c r="D341" s="28"/>
      <c r="E341" s="15"/>
      <c r="F341" s="41"/>
    </row>
    <row r="342" spans="1:6" ht="14.25" customHeight="1">
      <c r="A342" s="40"/>
      <c r="B342" s="40"/>
      <c r="C342" s="15"/>
      <c r="D342" s="28"/>
      <c r="E342" s="15"/>
      <c r="F342" s="41"/>
    </row>
    <row r="343" spans="1:6" ht="14.25" customHeight="1">
      <c r="A343" s="40"/>
      <c r="B343" s="40"/>
      <c r="C343" s="15"/>
      <c r="D343" s="28"/>
      <c r="E343" s="15"/>
      <c r="F343" s="41"/>
    </row>
    <row r="344" spans="1:6" ht="14.25" customHeight="1">
      <c r="A344" s="40"/>
      <c r="B344" s="40"/>
      <c r="C344" s="15"/>
      <c r="D344" s="28"/>
      <c r="E344" s="15"/>
      <c r="F344" s="41"/>
    </row>
    <row r="345" spans="1:6" ht="14.25" customHeight="1">
      <c r="A345" s="40"/>
      <c r="B345" s="40"/>
      <c r="C345" s="15"/>
      <c r="D345" s="28"/>
      <c r="E345" s="15"/>
      <c r="F345" s="41"/>
    </row>
    <row r="346" spans="1:6" ht="14.25" customHeight="1">
      <c r="A346" s="40"/>
      <c r="B346" s="40"/>
      <c r="C346" s="15"/>
      <c r="D346" s="28"/>
      <c r="E346" s="15"/>
      <c r="F346" s="41"/>
    </row>
    <row r="347" spans="1:6" ht="14.25" customHeight="1">
      <c r="A347" s="40"/>
      <c r="B347" s="40"/>
      <c r="C347" s="15"/>
      <c r="D347" s="28"/>
      <c r="E347" s="15"/>
      <c r="F347" s="41"/>
    </row>
    <row r="348" spans="1:6" ht="14.25" customHeight="1">
      <c r="A348" s="40"/>
      <c r="B348" s="40"/>
      <c r="C348" s="15"/>
      <c r="D348" s="28"/>
      <c r="E348" s="15"/>
      <c r="F348" s="41"/>
    </row>
    <row r="349" spans="1:6" ht="14.25" customHeight="1">
      <c r="A349" s="40"/>
      <c r="B349" s="40"/>
      <c r="C349" s="15"/>
      <c r="D349" s="28"/>
      <c r="E349" s="15"/>
      <c r="F349" s="41"/>
    </row>
    <row r="350" spans="1:6" ht="14.25" customHeight="1">
      <c r="A350" s="40"/>
      <c r="B350" s="40"/>
      <c r="C350" s="15"/>
      <c r="D350" s="28"/>
      <c r="E350" s="15"/>
      <c r="F350" s="41"/>
    </row>
    <row r="351" spans="1:6" ht="14.25" customHeight="1">
      <c r="A351" s="40"/>
      <c r="B351" s="40"/>
      <c r="C351" s="15"/>
      <c r="D351" s="28"/>
      <c r="E351" s="15"/>
      <c r="F351" s="41"/>
    </row>
    <row r="352" spans="1:6" ht="14.25" customHeight="1">
      <c r="A352" s="40"/>
      <c r="B352" s="40"/>
      <c r="C352" s="15"/>
      <c r="D352" s="28"/>
      <c r="E352" s="15"/>
      <c r="F352" s="41"/>
    </row>
    <row r="353" spans="1:6" ht="14.25" customHeight="1">
      <c r="A353" s="40"/>
      <c r="B353" s="40"/>
      <c r="C353" s="15"/>
      <c r="D353" s="28"/>
      <c r="E353" s="15"/>
      <c r="F353" s="41"/>
    </row>
    <row r="354" spans="1:6" ht="14.25" customHeight="1">
      <c r="A354" s="40"/>
      <c r="B354" s="40"/>
      <c r="C354" s="15"/>
      <c r="D354" s="28"/>
      <c r="E354" s="15"/>
      <c r="F354" s="41"/>
    </row>
    <row r="355" spans="1:6" ht="14.25" customHeight="1">
      <c r="A355" s="40"/>
      <c r="B355" s="40"/>
      <c r="C355" s="15"/>
      <c r="D355" s="28"/>
      <c r="E355" s="15"/>
      <c r="F355" s="41"/>
    </row>
    <row r="356" spans="1:6" ht="14.25" customHeight="1">
      <c r="A356" s="40"/>
      <c r="B356" s="40"/>
      <c r="C356" s="15"/>
      <c r="D356" s="28"/>
      <c r="E356" s="15"/>
      <c r="F356" s="41"/>
    </row>
    <row r="357" spans="1:6" ht="14.25" customHeight="1">
      <c r="A357" s="40"/>
      <c r="B357" s="40"/>
      <c r="C357" s="15"/>
      <c r="D357" s="28"/>
      <c r="E357" s="15"/>
      <c r="F357" s="41"/>
    </row>
    <row r="358" spans="1:6" ht="14.25" customHeight="1">
      <c r="A358" s="40"/>
      <c r="B358" s="40"/>
      <c r="C358" s="15"/>
      <c r="D358" s="28"/>
      <c r="E358" s="15"/>
      <c r="F358" s="41"/>
    </row>
    <row r="359" spans="1:6" ht="14.25" customHeight="1">
      <c r="A359" s="40"/>
      <c r="B359" s="40"/>
      <c r="C359" s="15"/>
      <c r="D359" s="28"/>
      <c r="E359" s="15"/>
      <c r="F359" s="41"/>
    </row>
    <row r="360" spans="1:6" ht="14.25" customHeight="1">
      <c r="A360" s="40"/>
      <c r="B360" s="40"/>
      <c r="C360" s="15"/>
      <c r="D360" s="28"/>
      <c r="E360" s="15"/>
      <c r="F360" s="41"/>
    </row>
    <row r="361" spans="1:6" ht="14.25" customHeight="1">
      <c r="A361" s="40"/>
      <c r="B361" s="40"/>
      <c r="C361" s="15"/>
      <c r="D361" s="28"/>
      <c r="E361" s="15"/>
      <c r="F361" s="41"/>
    </row>
    <row r="362" spans="1:6" ht="14.25" customHeight="1">
      <c r="A362" s="40"/>
      <c r="B362" s="40"/>
      <c r="C362" s="15"/>
      <c r="D362" s="28"/>
      <c r="E362" s="15"/>
      <c r="F362" s="41"/>
    </row>
    <row r="363" spans="1:6" ht="14.25" customHeight="1">
      <c r="A363" s="40"/>
      <c r="B363" s="40"/>
      <c r="C363" s="15"/>
      <c r="D363" s="28"/>
      <c r="E363" s="15"/>
      <c r="F363" s="41"/>
    </row>
    <row r="364" spans="1:6" ht="14.25" customHeight="1">
      <c r="A364" s="40"/>
      <c r="B364" s="40"/>
      <c r="C364" s="15"/>
      <c r="D364" s="28"/>
      <c r="E364" s="15"/>
      <c r="F364" s="41"/>
    </row>
    <row r="365" spans="1:6" ht="14.25" customHeight="1">
      <c r="A365" s="40"/>
      <c r="B365" s="40"/>
      <c r="C365" s="15"/>
      <c r="D365" s="28"/>
      <c r="E365" s="15"/>
      <c r="F365" s="41"/>
    </row>
    <row r="366" spans="1:6" ht="14.25" customHeight="1">
      <c r="A366" s="40"/>
      <c r="B366" s="40"/>
      <c r="C366" s="15"/>
      <c r="D366" s="28"/>
      <c r="E366" s="15"/>
      <c r="F366" s="41"/>
    </row>
    <row r="367" spans="1:6" ht="14.25" customHeight="1">
      <c r="A367" s="40"/>
      <c r="B367" s="40"/>
      <c r="C367" s="15"/>
      <c r="D367" s="28"/>
      <c r="E367" s="15"/>
      <c r="F367" s="41"/>
    </row>
    <row r="368" spans="1:6" ht="14.25" customHeight="1">
      <c r="A368" s="40"/>
      <c r="B368" s="40"/>
      <c r="C368" s="15"/>
      <c r="D368" s="28"/>
      <c r="E368" s="15"/>
      <c r="F368" s="41"/>
    </row>
    <row r="369" spans="1:6" ht="14.25" customHeight="1">
      <c r="A369" s="40"/>
      <c r="B369" s="40"/>
      <c r="C369" s="15"/>
      <c r="D369" s="28"/>
      <c r="E369" s="15"/>
      <c r="F369" s="41"/>
    </row>
    <row r="370" spans="1:6" ht="14.25" customHeight="1">
      <c r="A370" s="40"/>
      <c r="B370" s="40"/>
      <c r="C370" s="15"/>
      <c r="D370" s="28"/>
      <c r="E370" s="15"/>
      <c r="F370" s="41"/>
    </row>
    <row r="371" spans="1:6" ht="14.25" customHeight="1">
      <c r="A371" s="40"/>
      <c r="B371" s="40"/>
      <c r="C371" s="15"/>
      <c r="D371" s="28"/>
      <c r="E371" s="15"/>
      <c r="F371" s="41"/>
    </row>
    <row r="372" spans="1:6" ht="14.25" customHeight="1">
      <c r="A372" s="40"/>
      <c r="B372" s="40"/>
      <c r="C372" s="15"/>
      <c r="D372" s="28"/>
      <c r="E372" s="15"/>
      <c r="F372" s="41"/>
    </row>
    <row r="373" spans="1:6" ht="14.25" customHeight="1">
      <c r="A373" s="40"/>
      <c r="B373" s="40"/>
      <c r="C373" s="15"/>
      <c r="D373" s="28"/>
      <c r="E373" s="15"/>
      <c r="F373" s="41"/>
    </row>
    <row r="374" spans="1:6" ht="14.25" customHeight="1">
      <c r="A374" s="40"/>
      <c r="B374" s="40"/>
      <c r="C374" s="15"/>
      <c r="D374" s="28"/>
      <c r="E374" s="15"/>
      <c r="F374" s="41"/>
    </row>
    <row r="375" spans="1:6" ht="14.25" customHeight="1">
      <c r="A375" s="40"/>
      <c r="B375" s="40"/>
      <c r="C375" s="15"/>
      <c r="D375" s="28"/>
      <c r="E375" s="15"/>
      <c r="F375" s="41"/>
    </row>
    <row r="376" spans="1:6" ht="14.25" customHeight="1">
      <c r="A376" s="40"/>
      <c r="B376" s="40"/>
      <c r="C376" s="15"/>
      <c r="D376" s="28"/>
      <c r="E376" s="15"/>
      <c r="F376" s="41"/>
    </row>
    <row r="377" spans="1:6" ht="14.25" customHeight="1">
      <c r="A377" s="40"/>
      <c r="B377" s="40"/>
      <c r="C377" s="15"/>
      <c r="D377" s="28"/>
      <c r="E377" s="15"/>
      <c r="F377" s="41"/>
    </row>
    <row r="378" spans="1:6" ht="14.25" customHeight="1">
      <c r="A378" s="40"/>
      <c r="B378" s="40"/>
      <c r="C378" s="15"/>
      <c r="D378" s="28"/>
      <c r="E378" s="15"/>
      <c r="F378" s="41"/>
    </row>
    <row r="379" spans="1:6" ht="14.25" customHeight="1">
      <c r="A379" s="40"/>
      <c r="B379" s="40"/>
      <c r="C379" s="15"/>
      <c r="D379" s="28"/>
      <c r="E379" s="15"/>
      <c r="F379" s="41"/>
    </row>
    <row r="380" spans="1:6" ht="14.25" customHeight="1">
      <c r="A380" s="40"/>
      <c r="B380" s="40"/>
      <c r="C380" s="15"/>
      <c r="D380" s="28"/>
      <c r="E380" s="15"/>
      <c r="F380" s="41"/>
    </row>
    <row r="381" spans="1:6" ht="14.25" customHeight="1">
      <c r="A381" s="40"/>
      <c r="B381" s="40"/>
      <c r="C381" s="15"/>
      <c r="D381" s="28"/>
      <c r="E381" s="15"/>
      <c r="F381" s="41"/>
    </row>
    <row r="382" spans="1:6" ht="14.25" customHeight="1">
      <c r="A382" s="40"/>
      <c r="B382" s="40"/>
      <c r="C382" s="15"/>
      <c r="D382" s="28"/>
      <c r="E382" s="15"/>
      <c r="F382" s="41"/>
    </row>
    <row r="383" spans="1:6" ht="14.25" customHeight="1">
      <c r="A383" s="40"/>
      <c r="B383" s="40"/>
      <c r="C383" s="15"/>
      <c r="D383" s="28"/>
      <c r="E383" s="15"/>
      <c r="F383" s="41"/>
    </row>
    <row r="384" spans="1:6" ht="14.25" customHeight="1">
      <c r="A384" s="40"/>
      <c r="B384" s="40"/>
      <c r="C384" s="15"/>
      <c r="D384" s="28"/>
      <c r="E384" s="15"/>
      <c r="F384" s="41"/>
    </row>
    <row r="385" spans="1:6" ht="14.25" customHeight="1">
      <c r="A385" s="40"/>
      <c r="B385" s="40"/>
      <c r="C385" s="15"/>
      <c r="D385" s="28"/>
      <c r="E385" s="15"/>
      <c r="F385" s="41"/>
    </row>
    <row r="386" spans="1:6" ht="14.25" customHeight="1">
      <c r="A386" s="40"/>
      <c r="B386" s="40"/>
      <c r="C386" s="15"/>
      <c r="D386" s="28"/>
      <c r="E386" s="15"/>
      <c r="F386" s="41"/>
    </row>
    <row r="387" spans="1:6" ht="14.25" customHeight="1">
      <c r="A387" s="40"/>
      <c r="B387" s="40"/>
      <c r="C387" s="15"/>
      <c r="D387" s="28"/>
      <c r="E387" s="15"/>
      <c r="F387" s="41"/>
    </row>
    <row r="388" spans="1:6" ht="14.25" customHeight="1">
      <c r="A388" s="40"/>
      <c r="B388" s="40"/>
      <c r="C388" s="15"/>
      <c r="D388" s="28"/>
      <c r="E388" s="15"/>
      <c r="F388" s="41"/>
    </row>
    <row r="389" spans="1:6" ht="14.25" customHeight="1">
      <c r="A389" s="40"/>
      <c r="B389" s="40"/>
      <c r="C389" s="15"/>
      <c r="D389" s="28"/>
      <c r="E389" s="15"/>
      <c r="F389" s="41"/>
    </row>
    <row r="390" spans="1:6" ht="14.25" customHeight="1">
      <c r="A390" s="40"/>
      <c r="B390" s="40"/>
      <c r="C390" s="15"/>
      <c r="D390" s="28"/>
      <c r="E390" s="15"/>
      <c r="F390" s="41"/>
    </row>
    <row r="391" spans="1:6" ht="14.25" customHeight="1">
      <c r="A391" s="40"/>
      <c r="B391" s="40"/>
      <c r="C391" s="15"/>
      <c r="D391" s="28"/>
      <c r="E391" s="15"/>
      <c r="F391" s="41"/>
    </row>
    <row r="392" spans="1:6" ht="14.25" customHeight="1">
      <c r="A392" s="40"/>
      <c r="B392" s="40"/>
      <c r="C392" s="15"/>
      <c r="D392" s="28"/>
      <c r="E392" s="15"/>
      <c r="F392" s="41"/>
    </row>
    <row r="393" spans="1:6" ht="14.25" customHeight="1">
      <c r="A393" s="40"/>
      <c r="B393" s="40"/>
      <c r="C393" s="15"/>
      <c r="D393" s="28"/>
      <c r="E393" s="15"/>
      <c r="F393" s="41"/>
    </row>
    <row r="394" spans="1:6" ht="14.25" customHeight="1">
      <c r="A394" s="40"/>
      <c r="B394" s="40"/>
      <c r="C394" s="15"/>
      <c r="D394" s="28"/>
      <c r="E394" s="15"/>
      <c r="F394" s="41"/>
    </row>
    <row r="395" spans="1:6" ht="14.25" customHeight="1">
      <c r="A395" s="40"/>
      <c r="B395" s="40"/>
      <c r="C395" s="15"/>
      <c r="D395" s="28"/>
      <c r="E395" s="15"/>
      <c r="F395" s="41"/>
    </row>
    <row r="396" spans="1:6" ht="14.25" customHeight="1">
      <c r="A396" s="40"/>
      <c r="B396" s="40"/>
      <c r="C396" s="15"/>
      <c r="D396" s="28"/>
      <c r="E396" s="15"/>
      <c r="F396" s="41"/>
    </row>
    <row r="397" spans="1:6" ht="14.25" customHeight="1">
      <c r="A397" s="40"/>
      <c r="B397" s="40"/>
      <c r="C397" s="15"/>
      <c r="D397" s="28"/>
      <c r="E397" s="15"/>
      <c r="F397" s="41"/>
    </row>
    <row r="398" spans="1:6" ht="14.25" customHeight="1">
      <c r="A398" s="40"/>
      <c r="B398" s="40"/>
      <c r="C398" s="15"/>
      <c r="D398" s="28"/>
      <c r="E398" s="15"/>
      <c r="F398" s="41"/>
    </row>
    <row r="399" spans="1:6" ht="14.25" customHeight="1">
      <c r="A399" s="40"/>
      <c r="B399" s="40"/>
      <c r="C399" s="15"/>
      <c r="D399" s="28"/>
      <c r="E399" s="15"/>
      <c r="F399" s="41"/>
    </row>
    <row r="400" spans="1:6" ht="14.25" customHeight="1">
      <c r="A400" s="40"/>
      <c r="B400" s="40"/>
      <c r="C400" s="15"/>
      <c r="D400" s="28"/>
      <c r="E400" s="15"/>
      <c r="F400" s="41"/>
    </row>
    <row r="401" spans="1:6" ht="14.25" customHeight="1">
      <c r="A401" s="40"/>
      <c r="B401" s="40"/>
      <c r="C401" s="15"/>
      <c r="D401" s="28"/>
      <c r="E401" s="15"/>
      <c r="F401" s="41"/>
    </row>
    <row r="402" spans="1:6" ht="14.25" customHeight="1">
      <c r="A402" s="40"/>
      <c r="B402" s="40"/>
      <c r="C402" s="15"/>
      <c r="D402" s="28"/>
      <c r="E402" s="15"/>
      <c r="F402" s="41"/>
    </row>
    <row r="403" spans="1:6" ht="14.25" customHeight="1">
      <c r="A403" s="40"/>
      <c r="B403" s="40"/>
      <c r="C403" s="15"/>
      <c r="D403" s="28"/>
      <c r="E403" s="15"/>
      <c r="F403" s="41"/>
    </row>
    <row r="404" spans="1:6" ht="14.25" customHeight="1">
      <c r="A404" s="40"/>
      <c r="B404" s="40"/>
      <c r="C404" s="15"/>
      <c r="D404" s="28"/>
      <c r="E404" s="15"/>
      <c r="F404" s="41"/>
    </row>
    <row r="405" spans="1:6" ht="14.25" customHeight="1">
      <c r="A405" s="40"/>
      <c r="B405" s="40"/>
      <c r="C405" s="15"/>
      <c r="D405" s="28"/>
      <c r="E405" s="15"/>
      <c r="F405" s="41"/>
    </row>
    <row r="406" spans="1:6" ht="14.25" customHeight="1">
      <c r="A406" s="40"/>
      <c r="B406" s="40"/>
      <c r="C406" s="15"/>
      <c r="D406" s="28"/>
      <c r="E406" s="15"/>
      <c r="F406" s="41"/>
    </row>
    <row r="407" spans="1:6" ht="14.25" customHeight="1">
      <c r="A407" s="40"/>
      <c r="B407" s="40"/>
      <c r="C407" s="15"/>
      <c r="D407" s="28"/>
      <c r="E407" s="15"/>
      <c r="F407" s="41"/>
    </row>
    <row r="408" spans="1:6" ht="14.25" customHeight="1">
      <c r="A408" s="40"/>
      <c r="B408" s="40"/>
      <c r="C408" s="15"/>
      <c r="D408" s="28"/>
      <c r="E408" s="15"/>
      <c r="F408" s="41"/>
    </row>
    <row r="409" spans="1:6" ht="14.25" customHeight="1">
      <c r="A409" s="40"/>
      <c r="B409" s="40"/>
      <c r="C409" s="15"/>
      <c r="D409" s="28"/>
      <c r="E409" s="15"/>
      <c r="F409" s="41"/>
    </row>
    <row r="410" spans="1:6" ht="14.25" customHeight="1">
      <c r="A410" s="40"/>
      <c r="B410" s="40"/>
      <c r="C410" s="15"/>
      <c r="D410" s="28"/>
      <c r="E410" s="15"/>
      <c r="F410" s="41"/>
    </row>
    <row r="411" spans="1:6" ht="14.25" customHeight="1">
      <c r="A411" s="40"/>
      <c r="B411" s="40"/>
      <c r="C411" s="15"/>
      <c r="D411" s="28"/>
      <c r="E411" s="15"/>
      <c r="F411" s="41"/>
    </row>
    <row r="412" spans="1:6" ht="14.25" customHeight="1">
      <c r="A412" s="40"/>
      <c r="B412" s="40"/>
      <c r="C412" s="15"/>
      <c r="D412" s="28"/>
      <c r="E412" s="15"/>
      <c r="F412" s="41"/>
    </row>
    <row r="413" spans="1:6" ht="14.25" customHeight="1">
      <c r="A413" s="40"/>
      <c r="B413" s="40"/>
      <c r="C413" s="15"/>
      <c r="D413" s="28"/>
      <c r="E413" s="15"/>
      <c r="F413" s="41"/>
    </row>
    <row r="414" spans="1:6" ht="14.25" customHeight="1">
      <c r="A414" s="40"/>
      <c r="B414" s="40"/>
      <c r="C414" s="15"/>
      <c r="D414" s="28"/>
      <c r="E414" s="15"/>
      <c r="F414" s="41"/>
    </row>
    <row r="415" spans="1:6" ht="14.25" customHeight="1">
      <c r="A415" s="40"/>
      <c r="B415" s="40"/>
      <c r="C415" s="15"/>
      <c r="D415" s="28"/>
      <c r="E415" s="15"/>
      <c r="F415" s="41"/>
    </row>
    <row r="416" spans="1:6" ht="14.25" customHeight="1">
      <c r="A416" s="40"/>
      <c r="B416" s="40"/>
      <c r="C416" s="15"/>
      <c r="D416" s="28"/>
      <c r="E416" s="15"/>
      <c r="F416" s="41"/>
    </row>
    <row r="417" spans="1:6" ht="14.25" customHeight="1">
      <c r="A417" s="40"/>
      <c r="B417" s="40"/>
      <c r="C417" s="15"/>
      <c r="D417" s="28"/>
      <c r="E417" s="15"/>
      <c r="F417" s="41"/>
    </row>
    <row r="418" spans="1:6" ht="14.25" customHeight="1">
      <c r="A418" s="40"/>
      <c r="B418" s="40"/>
      <c r="C418" s="15"/>
      <c r="D418" s="28"/>
      <c r="E418" s="15"/>
      <c r="F418" s="41"/>
    </row>
    <row r="419" spans="1:6" ht="14.25" customHeight="1">
      <c r="A419" s="40"/>
      <c r="B419" s="40"/>
      <c r="C419" s="15"/>
      <c r="D419" s="28"/>
      <c r="E419" s="15"/>
      <c r="F419" s="41"/>
    </row>
    <row r="420" spans="1:6" ht="14.25" customHeight="1">
      <c r="A420" s="40"/>
      <c r="B420" s="40"/>
      <c r="C420" s="15"/>
      <c r="D420" s="28"/>
      <c r="E420" s="15"/>
      <c r="F420" s="41"/>
    </row>
    <row r="421" spans="1:6" ht="14.25" customHeight="1">
      <c r="A421" s="40"/>
      <c r="B421" s="40"/>
      <c r="C421" s="15"/>
      <c r="D421" s="28"/>
      <c r="E421" s="15"/>
      <c r="F421" s="41"/>
    </row>
    <row r="422" spans="1:6" ht="14.25" customHeight="1">
      <c r="A422" s="40"/>
      <c r="B422" s="40"/>
      <c r="C422" s="15"/>
      <c r="D422" s="28"/>
      <c r="E422" s="15"/>
      <c r="F422" s="41"/>
    </row>
    <row r="423" spans="1:6" ht="14.25" customHeight="1">
      <c r="A423" s="40"/>
      <c r="B423" s="40"/>
      <c r="C423" s="15"/>
      <c r="D423" s="28"/>
      <c r="E423" s="15"/>
      <c r="F423" s="41"/>
    </row>
    <row r="424" spans="1:6" ht="14.25" customHeight="1">
      <c r="A424" s="40"/>
      <c r="B424" s="40"/>
      <c r="C424" s="15"/>
      <c r="D424" s="28"/>
      <c r="E424" s="15"/>
      <c r="F424" s="41"/>
    </row>
    <row r="425" spans="1:6" ht="14.25" customHeight="1">
      <c r="A425" s="40"/>
      <c r="B425" s="40"/>
      <c r="C425" s="15"/>
      <c r="D425" s="28"/>
      <c r="E425" s="15"/>
      <c r="F425" s="41"/>
    </row>
    <row r="426" spans="1:6" ht="14.25" customHeight="1">
      <c r="A426" s="40"/>
      <c r="B426" s="40"/>
      <c r="C426" s="15"/>
      <c r="D426" s="28"/>
      <c r="E426" s="15"/>
      <c r="F426" s="41"/>
    </row>
    <row r="427" spans="1:6" ht="14.25" customHeight="1">
      <c r="A427" s="40"/>
      <c r="B427" s="40"/>
      <c r="C427" s="15"/>
      <c r="D427" s="28"/>
      <c r="E427" s="15"/>
      <c r="F427" s="41"/>
    </row>
    <row r="428" spans="1:6" ht="14.25" customHeight="1">
      <c r="A428" s="40"/>
      <c r="B428" s="40"/>
      <c r="C428" s="15"/>
      <c r="D428" s="28"/>
      <c r="E428" s="15"/>
      <c r="F428" s="41"/>
    </row>
    <row r="429" spans="1:6" ht="14.25" customHeight="1">
      <c r="A429" s="40"/>
      <c r="B429" s="40"/>
      <c r="C429" s="15"/>
      <c r="D429" s="28"/>
      <c r="E429" s="15"/>
      <c r="F429" s="41"/>
    </row>
    <row r="430" spans="1:6" ht="14.25" customHeight="1">
      <c r="A430" s="40"/>
      <c r="B430" s="40"/>
      <c r="C430" s="15"/>
      <c r="D430" s="28"/>
      <c r="E430" s="15"/>
      <c r="F430" s="41"/>
    </row>
    <row r="431" spans="1:6" ht="14.25" customHeight="1">
      <c r="A431" s="40"/>
      <c r="B431" s="40"/>
      <c r="C431" s="15"/>
      <c r="D431" s="28"/>
      <c r="E431" s="15"/>
      <c r="F431" s="41"/>
    </row>
    <row r="432" spans="1:6" ht="14.25" customHeight="1">
      <c r="A432" s="40"/>
      <c r="B432" s="40"/>
      <c r="C432" s="15"/>
      <c r="D432" s="28"/>
      <c r="E432" s="15"/>
      <c r="F432" s="41"/>
    </row>
    <row r="433" spans="1:6" ht="14.25" customHeight="1">
      <c r="A433" s="40"/>
      <c r="B433" s="40"/>
      <c r="C433" s="15"/>
      <c r="D433" s="28"/>
      <c r="E433" s="15"/>
      <c r="F433" s="41"/>
    </row>
    <row r="434" spans="1:6" ht="14.25" customHeight="1">
      <c r="A434" s="40"/>
      <c r="B434" s="40"/>
      <c r="C434" s="15"/>
      <c r="D434" s="28"/>
      <c r="E434" s="15"/>
      <c r="F434" s="41"/>
    </row>
    <row r="435" spans="1:6" ht="14.25" customHeight="1">
      <c r="A435" s="40"/>
      <c r="B435" s="40"/>
      <c r="C435" s="15"/>
      <c r="D435" s="28"/>
      <c r="E435" s="15"/>
      <c r="F435" s="41"/>
    </row>
    <row r="436" spans="1:6" ht="14.25" customHeight="1">
      <c r="A436" s="40"/>
      <c r="B436" s="40"/>
      <c r="C436" s="15"/>
      <c r="D436" s="28"/>
      <c r="E436" s="15"/>
      <c r="F436" s="41"/>
    </row>
    <row r="437" spans="1:6" ht="14.25" customHeight="1">
      <c r="A437" s="40"/>
      <c r="B437" s="40"/>
      <c r="C437" s="15"/>
      <c r="D437" s="28"/>
      <c r="E437" s="15"/>
      <c r="F437" s="41"/>
    </row>
    <row r="438" spans="1:6" ht="14.25" customHeight="1">
      <c r="A438" s="40"/>
      <c r="B438" s="40"/>
      <c r="C438" s="15"/>
      <c r="D438" s="28"/>
      <c r="E438" s="15"/>
      <c r="F438" s="41"/>
    </row>
    <row r="439" spans="1:6" ht="14.25" customHeight="1">
      <c r="A439" s="40"/>
      <c r="B439" s="40"/>
      <c r="C439" s="15"/>
      <c r="D439" s="28"/>
      <c r="E439" s="15"/>
      <c r="F439" s="41"/>
    </row>
    <row r="440" spans="1:6" ht="14.25" customHeight="1">
      <c r="A440" s="40"/>
      <c r="B440" s="40"/>
      <c r="C440" s="15"/>
      <c r="D440" s="28"/>
      <c r="E440" s="15"/>
      <c r="F440" s="41"/>
    </row>
    <row r="441" spans="1:6" ht="14.25" customHeight="1">
      <c r="A441" s="40"/>
      <c r="B441" s="40"/>
      <c r="C441" s="15"/>
      <c r="D441" s="28"/>
      <c r="E441" s="15"/>
      <c r="F441" s="41"/>
    </row>
    <row r="442" spans="1:6" ht="14.25" customHeight="1">
      <c r="A442" s="40"/>
      <c r="B442" s="40"/>
      <c r="C442" s="15"/>
      <c r="D442" s="28"/>
      <c r="E442" s="15"/>
      <c r="F442" s="41"/>
    </row>
    <row r="443" spans="1:6" ht="14.25" customHeight="1">
      <c r="A443" s="40"/>
      <c r="B443" s="40"/>
      <c r="C443" s="15"/>
      <c r="D443" s="28"/>
      <c r="E443" s="15"/>
      <c r="F443" s="41"/>
    </row>
    <row r="444" spans="1:6" ht="14.25" customHeight="1">
      <c r="A444" s="40"/>
      <c r="B444" s="40"/>
      <c r="C444" s="15"/>
      <c r="D444" s="28"/>
      <c r="E444" s="15"/>
      <c r="F444" s="41"/>
    </row>
    <row r="445" spans="1:6" ht="14.25" customHeight="1">
      <c r="A445" s="40"/>
      <c r="B445" s="40"/>
      <c r="C445" s="15"/>
      <c r="D445" s="28"/>
      <c r="E445" s="15"/>
      <c r="F445" s="41"/>
    </row>
    <row r="446" spans="1:6" ht="14.25" customHeight="1">
      <c r="A446" s="40"/>
      <c r="B446" s="40"/>
      <c r="C446" s="15"/>
      <c r="D446" s="28"/>
      <c r="E446" s="15"/>
      <c r="F446" s="41"/>
    </row>
    <row r="447" spans="1:6" ht="14.25" customHeight="1">
      <c r="A447" s="40"/>
      <c r="B447" s="40"/>
      <c r="C447" s="15"/>
      <c r="D447" s="28"/>
      <c r="E447" s="15"/>
      <c r="F447" s="41"/>
    </row>
    <row r="448" spans="1:6" ht="14.25" customHeight="1">
      <c r="A448" s="40"/>
      <c r="B448" s="40"/>
      <c r="C448" s="15"/>
      <c r="D448" s="28"/>
      <c r="E448" s="15"/>
      <c r="F448" s="41"/>
    </row>
    <row r="449" spans="1:6" ht="14.25" customHeight="1">
      <c r="A449" s="40"/>
      <c r="B449" s="40"/>
      <c r="C449" s="15"/>
      <c r="D449" s="28"/>
      <c r="E449" s="15"/>
      <c r="F449" s="41"/>
    </row>
    <row r="450" spans="1:6" ht="14.25" customHeight="1">
      <c r="A450" s="40"/>
      <c r="B450" s="40"/>
      <c r="C450" s="15"/>
      <c r="D450" s="28"/>
      <c r="E450" s="15"/>
      <c r="F450" s="41"/>
    </row>
    <row r="451" spans="1:6" ht="14.25" customHeight="1">
      <c r="A451" s="40"/>
      <c r="B451" s="40"/>
      <c r="C451" s="15"/>
      <c r="D451" s="28"/>
      <c r="E451" s="15"/>
      <c r="F451" s="41"/>
    </row>
    <row r="452" spans="1:6" ht="14.25" customHeight="1">
      <c r="A452" s="40"/>
      <c r="B452" s="40"/>
      <c r="C452" s="15"/>
      <c r="D452" s="28"/>
      <c r="E452" s="15"/>
      <c r="F452" s="41"/>
    </row>
    <row r="453" spans="1:6" ht="14.25" customHeight="1">
      <c r="A453" s="40"/>
      <c r="B453" s="40"/>
      <c r="C453" s="15"/>
      <c r="D453" s="28"/>
      <c r="E453" s="15"/>
      <c r="F453" s="41"/>
    </row>
    <row r="454" spans="1:6" ht="14.25" customHeight="1">
      <c r="A454" s="40"/>
      <c r="B454" s="40"/>
      <c r="C454" s="15"/>
      <c r="D454" s="28"/>
      <c r="E454" s="15"/>
      <c r="F454" s="41"/>
    </row>
    <row r="455" spans="1:6" ht="14.25" customHeight="1">
      <c r="A455" s="40"/>
      <c r="B455" s="40"/>
      <c r="C455" s="15"/>
      <c r="D455" s="28"/>
      <c r="E455" s="15"/>
      <c r="F455" s="41"/>
    </row>
    <row r="456" spans="1:6" ht="14.25" customHeight="1">
      <c r="A456" s="40"/>
      <c r="B456" s="40"/>
      <c r="C456" s="15"/>
      <c r="D456" s="28"/>
      <c r="E456" s="15"/>
      <c r="F456" s="41"/>
    </row>
    <row r="457" spans="1:6" ht="14.25" customHeight="1">
      <c r="A457" s="40"/>
      <c r="B457" s="40"/>
      <c r="C457" s="15"/>
      <c r="D457" s="28"/>
      <c r="E457" s="15"/>
      <c r="F457" s="41"/>
    </row>
    <row r="458" spans="1:6" ht="14.25" customHeight="1">
      <c r="A458" s="40"/>
      <c r="B458" s="40"/>
      <c r="C458" s="15"/>
      <c r="D458" s="28"/>
      <c r="E458" s="15"/>
      <c r="F458" s="41"/>
    </row>
    <row r="459" spans="1:6" ht="14.25" customHeight="1">
      <c r="A459" s="40"/>
      <c r="B459" s="40"/>
      <c r="C459" s="15"/>
      <c r="D459" s="28"/>
      <c r="E459" s="15"/>
      <c r="F459" s="41"/>
    </row>
    <row r="460" spans="1:6" ht="14.25" customHeight="1">
      <c r="A460" s="40"/>
      <c r="B460" s="40"/>
      <c r="C460" s="15"/>
      <c r="D460" s="28"/>
      <c r="E460" s="15"/>
      <c r="F460" s="41"/>
    </row>
    <row r="461" spans="1:6" ht="14.25" customHeight="1">
      <c r="A461" s="40"/>
      <c r="B461" s="40"/>
      <c r="C461" s="15"/>
      <c r="D461" s="28"/>
      <c r="E461" s="15"/>
      <c r="F461" s="41"/>
    </row>
    <row r="462" spans="1:6" ht="14.25" customHeight="1">
      <c r="A462" s="40"/>
      <c r="B462" s="40"/>
      <c r="C462" s="15"/>
      <c r="D462" s="28"/>
      <c r="E462" s="15"/>
      <c r="F462" s="41"/>
    </row>
    <row r="463" spans="1:6" ht="14.25" customHeight="1">
      <c r="A463" s="40"/>
      <c r="B463" s="40"/>
      <c r="C463" s="15"/>
      <c r="D463" s="28"/>
      <c r="E463" s="15"/>
      <c r="F463" s="41"/>
    </row>
    <row r="464" spans="1:6" ht="14.25" customHeight="1">
      <c r="A464" s="40"/>
      <c r="B464" s="40"/>
      <c r="C464" s="15"/>
      <c r="D464" s="28"/>
      <c r="E464" s="15"/>
      <c r="F464" s="41"/>
    </row>
    <row r="465" spans="1:6" ht="14.25" customHeight="1">
      <c r="A465" s="40"/>
      <c r="B465" s="40"/>
      <c r="C465" s="15"/>
      <c r="D465" s="28"/>
      <c r="E465" s="15"/>
      <c r="F465" s="41"/>
    </row>
    <row r="466" spans="1:6" ht="14.25" customHeight="1">
      <c r="A466" s="40"/>
      <c r="B466" s="40"/>
      <c r="C466" s="15"/>
      <c r="D466" s="28"/>
      <c r="E466" s="15"/>
      <c r="F466" s="41"/>
    </row>
    <row r="467" spans="1:6" ht="14.25" customHeight="1">
      <c r="A467" s="40"/>
      <c r="B467" s="40"/>
      <c r="C467" s="15"/>
      <c r="D467" s="28"/>
      <c r="E467" s="15"/>
      <c r="F467" s="41"/>
    </row>
    <row r="468" spans="1:6" ht="14.25" customHeight="1">
      <c r="A468" s="40"/>
      <c r="B468" s="40"/>
      <c r="C468" s="15"/>
      <c r="D468" s="28"/>
      <c r="E468" s="15"/>
      <c r="F468" s="41"/>
    </row>
    <row r="469" spans="1:6" ht="14.25" customHeight="1">
      <c r="A469" s="40"/>
      <c r="B469" s="40"/>
      <c r="C469" s="15"/>
      <c r="D469" s="28"/>
      <c r="E469" s="15"/>
      <c r="F469" s="41"/>
    </row>
    <row r="470" spans="1:6" ht="14.25" customHeight="1">
      <c r="A470" s="40"/>
      <c r="B470" s="40"/>
      <c r="C470" s="15"/>
      <c r="D470" s="28"/>
      <c r="E470" s="15"/>
      <c r="F470" s="41"/>
    </row>
    <row r="471" spans="1:6" ht="14.25" customHeight="1">
      <c r="A471" s="40"/>
      <c r="B471" s="40"/>
      <c r="C471" s="15"/>
      <c r="D471" s="28"/>
      <c r="E471" s="15"/>
      <c r="F471" s="41"/>
    </row>
    <row r="472" spans="1:6" ht="14.25" customHeight="1">
      <c r="A472" s="40"/>
      <c r="B472" s="40"/>
      <c r="C472" s="15"/>
      <c r="D472" s="28"/>
      <c r="E472" s="15"/>
      <c r="F472" s="41"/>
    </row>
    <row r="473" spans="1:6" ht="14.25" customHeight="1">
      <c r="A473" s="40"/>
      <c r="B473" s="40"/>
      <c r="C473" s="15"/>
      <c r="D473" s="28"/>
      <c r="E473" s="15"/>
      <c r="F473" s="41"/>
    </row>
    <row r="474" spans="1:6" ht="14.25" customHeight="1">
      <c r="A474" s="40"/>
      <c r="B474" s="40"/>
      <c r="C474" s="15"/>
      <c r="D474" s="28"/>
      <c r="E474" s="15"/>
      <c r="F474" s="41"/>
    </row>
    <row r="475" spans="1:6" ht="14.25" customHeight="1">
      <c r="A475" s="40"/>
      <c r="B475" s="40"/>
      <c r="C475" s="15"/>
      <c r="D475" s="28"/>
      <c r="E475" s="15"/>
      <c r="F475" s="41"/>
    </row>
    <row r="476" spans="1:6" ht="14.25" customHeight="1">
      <c r="A476" s="40"/>
      <c r="B476" s="40"/>
      <c r="C476" s="15"/>
      <c r="D476" s="28"/>
      <c r="E476" s="15"/>
      <c r="F476" s="41"/>
    </row>
    <row r="477" spans="1:6" ht="14.25" customHeight="1">
      <c r="A477" s="40"/>
      <c r="B477" s="40"/>
      <c r="C477" s="15"/>
      <c r="D477" s="28"/>
      <c r="E477" s="15"/>
      <c r="F477" s="41"/>
    </row>
    <row r="478" spans="1:6" ht="14.25" customHeight="1">
      <c r="A478" s="40"/>
      <c r="B478" s="40"/>
      <c r="C478" s="15"/>
      <c r="D478" s="28"/>
      <c r="E478" s="15"/>
      <c r="F478" s="41"/>
    </row>
    <row r="479" spans="1:6" ht="14.25" customHeight="1">
      <c r="A479" s="40"/>
      <c r="B479" s="40"/>
      <c r="C479" s="15"/>
      <c r="D479" s="28"/>
      <c r="E479" s="15"/>
      <c r="F479" s="41"/>
    </row>
    <row r="480" spans="1:6" ht="14.25" customHeight="1">
      <c r="A480" s="40"/>
      <c r="B480" s="40"/>
      <c r="C480" s="15"/>
      <c r="D480" s="28"/>
      <c r="E480" s="15"/>
      <c r="F480" s="41"/>
    </row>
    <row r="481" spans="1:6" ht="14.25" customHeight="1">
      <c r="A481" s="40"/>
      <c r="B481" s="40"/>
      <c r="C481" s="15"/>
      <c r="D481" s="28"/>
      <c r="E481" s="15"/>
      <c r="F481" s="41"/>
    </row>
    <row r="482" spans="1:6" ht="14.25" customHeight="1">
      <c r="A482" s="40"/>
      <c r="B482" s="40"/>
      <c r="C482" s="15"/>
      <c r="D482" s="28"/>
      <c r="E482" s="15"/>
      <c r="F482" s="41"/>
    </row>
    <row r="483" spans="1:6" ht="14.25" customHeight="1">
      <c r="A483" s="40"/>
      <c r="B483" s="40"/>
      <c r="C483" s="15"/>
      <c r="D483" s="28"/>
      <c r="E483" s="15"/>
      <c r="F483" s="41"/>
    </row>
    <row r="484" spans="1:6" ht="14.25" customHeight="1">
      <c r="A484" s="40"/>
      <c r="B484" s="40"/>
      <c r="C484" s="15"/>
      <c r="D484" s="28"/>
      <c r="E484" s="15"/>
      <c r="F484" s="41"/>
    </row>
    <row r="485" spans="1:6" ht="14.25" customHeight="1">
      <c r="A485" s="40"/>
      <c r="B485" s="40"/>
      <c r="C485" s="15"/>
      <c r="D485" s="28"/>
      <c r="E485" s="15"/>
      <c r="F485" s="41"/>
    </row>
    <row r="486" spans="1:6" ht="14.25" customHeight="1">
      <c r="A486" s="40"/>
      <c r="B486" s="40"/>
      <c r="C486" s="15"/>
      <c r="D486" s="28"/>
      <c r="E486" s="15"/>
      <c r="F486" s="41"/>
    </row>
    <row r="487" spans="1:6" ht="14.25" customHeight="1">
      <c r="A487" s="40"/>
      <c r="B487" s="40"/>
      <c r="C487" s="15"/>
      <c r="D487" s="28"/>
      <c r="E487" s="15"/>
      <c r="F487" s="41"/>
    </row>
    <row r="488" spans="1:6" ht="14.25" customHeight="1">
      <c r="A488" s="40"/>
      <c r="B488" s="40"/>
      <c r="C488" s="15"/>
      <c r="D488" s="28"/>
      <c r="E488" s="15"/>
      <c r="F488" s="41"/>
    </row>
    <row r="489" spans="1:6" ht="14.25" customHeight="1">
      <c r="A489" s="40"/>
      <c r="B489" s="40"/>
      <c r="C489" s="15"/>
      <c r="D489" s="28"/>
      <c r="E489" s="15"/>
      <c r="F489" s="41"/>
    </row>
    <row r="490" spans="1:6" ht="14.25" customHeight="1">
      <c r="A490" s="40"/>
      <c r="B490" s="40"/>
      <c r="C490" s="15"/>
      <c r="D490" s="28"/>
      <c r="E490" s="15"/>
      <c r="F490" s="41"/>
    </row>
    <row r="491" spans="1:6" ht="14.25" customHeight="1">
      <c r="A491" s="40"/>
      <c r="B491" s="40"/>
      <c r="C491" s="15"/>
      <c r="D491" s="28"/>
      <c r="E491" s="15"/>
      <c r="F491" s="41"/>
    </row>
    <row r="492" spans="1:6" ht="14.25" customHeight="1">
      <c r="A492" s="40"/>
      <c r="B492" s="40"/>
      <c r="C492" s="15"/>
      <c r="D492" s="28"/>
      <c r="E492" s="15"/>
      <c r="F492" s="41"/>
    </row>
    <row r="493" spans="1:6" ht="14.25" customHeight="1">
      <c r="A493" s="40"/>
      <c r="B493" s="40"/>
      <c r="C493" s="15"/>
      <c r="D493" s="28"/>
      <c r="E493" s="15"/>
      <c r="F493" s="41"/>
    </row>
    <row r="494" spans="1:6" ht="14.25" customHeight="1">
      <c r="A494" s="40"/>
      <c r="B494" s="40"/>
      <c r="C494" s="15"/>
      <c r="D494" s="28"/>
      <c r="E494" s="15"/>
      <c r="F494" s="41"/>
    </row>
    <row r="495" spans="1:6" ht="14.25" customHeight="1">
      <c r="A495" s="40"/>
      <c r="B495" s="40"/>
      <c r="C495" s="15"/>
      <c r="D495" s="28"/>
      <c r="E495" s="15"/>
      <c r="F495" s="41"/>
    </row>
    <row r="496" spans="1:6" ht="14.25" customHeight="1">
      <c r="A496" s="40"/>
      <c r="B496" s="40"/>
      <c r="C496" s="15"/>
      <c r="D496" s="28"/>
      <c r="E496" s="15"/>
      <c r="F496" s="41"/>
    </row>
    <row r="497" spans="1:6" ht="14.25" customHeight="1">
      <c r="A497" s="40"/>
      <c r="B497" s="40"/>
      <c r="C497" s="15"/>
      <c r="D497" s="28"/>
      <c r="E497" s="15"/>
      <c r="F497" s="41"/>
    </row>
    <row r="498" spans="1:6" ht="14.25" customHeight="1">
      <c r="A498" s="40"/>
      <c r="B498" s="40"/>
      <c r="C498" s="15"/>
      <c r="D498" s="28"/>
      <c r="E498" s="15"/>
      <c r="F498" s="41"/>
    </row>
    <row r="499" spans="1:6" ht="14.25" customHeight="1">
      <c r="A499" s="40"/>
      <c r="B499" s="40"/>
      <c r="C499" s="15"/>
      <c r="D499" s="28"/>
      <c r="E499" s="15"/>
      <c r="F499" s="41"/>
    </row>
    <row r="500" spans="1:6" ht="14.25" customHeight="1">
      <c r="A500" s="40"/>
      <c r="B500" s="40"/>
      <c r="C500" s="15"/>
      <c r="D500" s="28"/>
      <c r="E500" s="15"/>
      <c r="F500" s="41"/>
    </row>
    <row r="501" spans="1:6" ht="14.25" customHeight="1">
      <c r="A501" s="40"/>
      <c r="B501" s="40"/>
      <c r="C501" s="15"/>
      <c r="D501" s="28"/>
      <c r="E501" s="15"/>
      <c r="F501" s="41"/>
    </row>
    <row r="502" spans="1:6" ht="14.25" customHeight="1">
      <c r="A502" s="40"/>
      <c r="B502" s="40"/>
      <c r="C502" s="15"/>
      <c r="D502" s="28"/>
      <c r="E502" s="15"/>
      <c r="F502" s="41"/>
    </row>
    <row r="503" spans="1:6" ht="14.25" customHeight="1">
      <c r="A503" s="40"/>
      <c r="B503" s="40"/>
      <c r="C503" s="15"/>
      <c r="D503" s="28"/>
      <c r="E503" s="15"/>
      <c r="F503" s="41"/>
    </row>
    <row r="504" spans="1:6" ht="14.25" customHeight="1">
      <c r="A504" s="40"/>
      <c r="B504" s="40"/>
      <c r="C504" s="15"/>
      <c r="D504" s="28"/>
      <c r="E504" s="15"/>
      <c r="F504" s="41"/>
    </row>
    <row r="505" spans="1:6" ht="14.25" customHeight="1">
      <c r="A505" s="40"/>
      <c r="B505" s="40"/>
      <c r="C505" s="15"/>
      <c r="D505" s="28"/>
      <c r="E505" s="15"/>
      <c r="F505" s="41"/>
    </row>
    <row r="506" spans="1:6" ht="14.25" customHeight="1">
      <c r="A506" s="40"/>
      <c r="B506" s="40"/>
      <c r="C506" s="15"/>
      <c r="D506" s="28"/>
      <c r="E506" s="15"/>
      <c r="F506" s="41"/>
    </row>
    <row r="507" spans="1:6" ht="14.25" customHeight="1">
      <c r="A507" s="40"/>
      <c r="B507" s="40"/>
      <c r="C507" s="15"/>
      <c r="D507" s="28"/>
      <c r="E507" s="15"/>
      <c r="F507" s="41"/>
    </row>
    <row r="508" spans="1:6" ht="14.25" customHeight="1">
      <c r="A508" s="40"/>
      <c r="B508" s="40"/>
      <c r="C508" s="15"/>
      <c r="D508" s="28"/>
      <c r="E508" s="15"/>
      <c r="F508" s="41"/>
    </row>
    <row r="509" spans="1:6" ht="14.25" customHeight="1">
      <c r="A509" s="40"/>
      <c r="B509" s="40"/>
      <c r="C509" s="15"/>
      <c r="D509" s="28"/>
      <c r="E509" s="15"/>
      <c r="F509" s="41"/>
    </row>
    <row r="510" spans="1:6" ht="14.25" customHeight="1">
      <c r="A510" s="40"/>
      <c r="B510" s="40"/>
      <c r="C510" s="15"/>
      <c r="D510" s="28"/>
      <c r="E510" s="15"/>
      <c r="F510" s="41"/>
    </row>
    <row r="511" spans="1:6" ht="14.25" customHeight="1">
      <c r="A511" s="40"/>
      <c r="B511" s="40"/>
      <c r="C511" s="15"/>
      <c r="D511" s="28"/>
      <c r="E511" s="15"/>
      <c r="F511" s="41"/>
    </row>
    <row r="512" spans="1:6" ht="14.25" customHeight="1">
      <c r="A512" s="40"/>
      <c r="B512" s="40"/>
      <c r="C512" s="15"/>
      <c r="D512" s="28"/>
      <c r="E512" s="15"/>
      <c r="F512" s="41"/>
    </row>
    <row r="513" spans="1:6" ht="14.25" customHeight="1">
      <c r="A513" s="40"/>
      <c r="B513" s="40"/>
      <c r="C513" s="15"/>
      <c r="D513" s="28"/>
      <c r="E513" s="15"/>
      <c r="F513" s="41"/>
    </row>
    <row r="514" spans="1:6" ht="14.25" customHeight="1">
      <c r="A514" s="40"/>
      <c r="B514" s="40"/>
      <c r="C514" s="15"/>
      <c r="D514" s="28"/>
      <c r="E514" s="15"/>
      <c r="F514" s="41"/>
    </row>
    <row r="515" spans="1:6" ht="14.25" customHeight="1">
      <c r="A515" s="40"/>
      <c r="B515" s="40"/>
      <c r="C515" s="15"/>
      <c r="D515" s="28"/>
      <c r="E515" s="15"/>
      <c r="F515" s="41"/>
    </row>
    <row r="516" spans="1:6" ht="14.25" customHeight="1">
      <c r="A516" s="40"/>
      <c r="B516" s="40"/>
      <c r="C516" s="15"/>
      <c r="D516" s="28"/>
      <c r="E516" s="15"/>
      <c r="F516" s="41"/>
    </row>
    <row r="517" spans="1:6" ht="14.25" customHeight="1">
      <c r="A517" s="40"/>
      <c r="B517" s="40"/>
      <c r="C517" s="15"/>
      <c r="D517" s="28"/>
      <c r="E517" s="15"/>
      <c r="F517" s="41"/>
    </row>
    <row r="518" spans="1:6" ht="14.25" customHeight="1">
      <c r="A518" s="40"/>
      <c r="B518" s="40"/>
      <c r="C518" s="15"/>
      <c r="D518" s="28"/>
      <c r="E518" s="15"/>
      <c r="F518" s="41"/>
    </row>
    <row r="519" spans="1:6" ht="14.25" customHeight="1">
      <c r="A519" s="40"/>
      <c r="B519" s="40"/>
      <c r="C519" s="15"/>
      <c r="D519" s="28"/>
      <c r="E519" s="15"/>
      <c r="F519" s="41"/>
    </row>
    <row r="520" spans="1:6" ht="14.25" customHeight="1">
      <c r="A520" s="40"/>
      <c r="B520" s="40"/>
      <c r="C520" s="15"/>
      <c r="D520" s="28"/>
      <c r="E520" s="15"/>
      <c r="F520" s="41"/>
    </row>
    <row r="521" spans="1:6" ht="14.25" customHeight="1">
      <c r="A521" s="40"/>
      <c r="B521" s="40"/>
      <c r="C521" s="15"/>
      <c r="D521" s="28"/>
      <c r="E521" s="15"/>
      <c r="F521" s="41"/>
    </row>
    <row r="522" spans="1:6" ht="14.25" customHeight="1">
      <c r="A522" s="40"/>
      <c r="B522" s="40"/>
      <c r="C522" s="15"/>
      <c r="D522" s="28"/>
      <c r="E522" s="15"/>
      <c r="F522" s="41"/>
    </row>
    <row r="523" spans="1:6" ht="14.25" customHeight="1">
      <c r="A523" s="40"/>
      <c r="B523" s="40"/>
      <c r="C523" s="15"/>
      <c r="D523" s="28"/>
      <c r="E523" s="15"/>
      <c r="F523" s="41"/>
    </row>
    <row r="524" spans="1:6" ht="14.25" customHeight="1">
      <c r="A524" s="40"/>
      <c r="B524" s="40"/>
      <c r="C524" s="15"/>
      <c r="D524" s="28"/>
      <c r="E524" s="15"/>
      <c r="F524" s="41"/>
    </row>
    <row r="525" spans="1:6" ht="14.25" customHeight="1">
      <c r="A525" s="40"/>
      <c r="B525" s="40"/>
      <c r="C525" s="15"/>
      <c r="D525" s="28"/>
      <c r="E525" s="15"/>
      <c r="F525" s="41"/>
    </row>
    <row r="526" spans="1:6" ht="14.25" customHeight="1">
      <c r="A526" s="40"/>
      <c r="B526" s="40"/>
      <c r="C526" s="15"/>
      <c r="D526" s="28"/>
      <c r="E526" s="15"/>
      <c r="F526" s="41"/>
    </row>
    <row r="527" spans="1:6" ht="14.25" customHeight="1">
      <c r="A527" s="40"/>
      <c r="B527" s="40"/>
      <c r="C527" s="15"/>
      <c r="D527" s="28"/>
      <c r="E527" s="15"/>
      <c r="F527" s="41"/>
    </row>
    <row r="528" spans="1:6" ht="14.25" customHeight="1">
      <c r="A528" s="40"/>
      <c r="B528" s="40"/>
      <c r="C528" s="15"/>
      <c r="D528" s="28"/>
      <c r="E528" s="15"/>
      <c r="F528" s="41"/>
    </row>
    <row r="529" spans="1:6" ht="14.25" customHeight="1">
      <c r="A529" s="40"/>
      <c r="B529" s="40"/>
      <c r="C529" s="15"/>
      <c r="D529" s="28"/>
      <c r="E529" s="15"/>
      <c r="F529" s="41"/>
    </row>
    <row r="530" spans="1:6" ht="14.25" customHeight="1">
      <c r="A530" s="40"/>
      <c r="B530" s="40"/>
      <c r="C530" s="15"/>
      <c r="D530" s="28"/>
      <c r="E530" s="15"/>
      <c r="F530" s="41"/>
    </row>
    <row r="531" spans="1:6" ht="14.25" customHeight="1">
      <c r="A531" s="40"/>
      <c r="B531" s="40"/>
      <c r="C531" s="15"/>
      <c r="D531" s="28"/>
      <c r="E531" s="15"/>
      <c r="F531" s="41"/>
    </row>
    <row r="532" spans="1:6" ht="14.25" customHeight="1">
      <c r="A532" s="40"/>
      <c r="B532" s="40"/>
      <c r="C532" s="15"/>
      <c r="D532" s="28"/>
      <c r="E532" s="15"/>
      <c r="F532" s="41"/>
    </row>
    <row r="533" spans="1:6" ht="14.25" customHeight="1">
      <c r="A533" s="40"/>
      <c r="B533" s="40"/>
      <c r="C533" s="15"/>
      <c r="D533" s="28"/>
      <c r="E533" s="15"/>
      <c r="F533" s="41"/>
    </row>
    <row r="534" spans="1:6" ht="14.25" customHeight="1">
      <c r="A534" s="40"/>
      <c r="B534" s="40"/>
      <c r="C534" s="15"/>
      <c r="D534" s="28"/>
      <c r="E534" s="15"/>
      <c r="F534" s="41"/>
    </row>
    <row r="535" spans="1:6" ht="14.25" customHeight="1">
      <c r="A535" s="40"/>
      <c r="B535" s="40"/>
      <c r="C535" s="15"/>
      <c r="D535" s="28"/>
      <c r="E535" s="15"/>
      <c r="F535" s="41"/>
    </row>
    <row r="536" spans="1:6" ht="14.25" customHeight="1">
      <c r="A536" s="40"/>
      <c r="B536" s="40"/>
      <c r="C536" s="15"/>
      <c r="D536" s="28"/>
      <c r="E536" s="15"/>
      <c r="F536" s="41"/>
    </row>
    <row r="537" spans="1:6" ht="14.25" customHeight="1">
      <c r="A537" s="40"/>
      <c r="B537" s="40"/>
      <c r="C537" s="15"/>
      <c r="D537" s="28"/>
      <c r="E537" s="15"/>
      <c r="F537" s="41"/>
    </row>
    <row r="538" spans="1:6" ht="14.25" customHeight="1">
      <c r="A538" s="40"/>
      <c r="B538" s="40"/>
      <c r="C538" s="15"/>
      <c r="D538" s="28"/>
      <c r="E538" s="15"/>
      <c r="F538" s="41"/>
    </row>
    <row r="539" spans="1:6" ht="14.25" customHeight="1">
      <c r="A539" s="40"/>
      <c r="B539" s="40"/>
      <c r="C539" s="15"/>
      <c r="D539" s="28"/>
      <c r="E539" s="15"/>
      <c r="F539" s="41"/>
    </row>
    <row r="540" spans="1:6" ht="14.25" customHeight="1">
      <c r="A540" s="40"/>
      <c r="B540" s="40"/>
      <c r="C540" s="15"/>
      <c r="D540" s="28"/>
      <c r="E540" s="15"/>
      <c r="F540" s="41"/>
    </row>
    <row r="541" spans="1:6" ht="14.25" customHeight="1">
      <c r="A541" s="40"/>
      <c r="B541" s="40"/>
      <c r="C541" s="15"/>
      <c r="D541" s="28"/>
      <c r="E541" s="15"/>
      <c r="F541" s="41"/>
    </row>
    <row r="542" spans="1:6" ht="14.25" customHeight="1">
      <c r="A542" s="40"/>
      <c r="B542" s="40"/>
      <c r="C542" s="15"/>
      <c r="D542" s="28"/>
      <c r="E542" s="15"/>
      <c r="F542" s="41"/>
    </row>
    <row r="543" spans="1:6" ht="14.25" customHeight="1">
      <c r="A543" s="40"/>
      <c r="B543" s="40"/>
      <c r="C543" s="15"/>
      <c r="D543" s="28"/>
      <c r="E543" s="15"/>
      <c r="F543" s="41"/>
    </row>
    <row r="544" spans="1:6" ht="14.25" customHeight="1">
      <c r="A544" s="40"/>
      <c r="B544" s="40"/>
      <c r="C544" s="15"/>
      <c r="D544" s="28"/>
      <c r="E544" s="15"/>
      <c r="F544" s="41"/>
    </row>
    <row r="545" spans="1:6" ht="14.25" customHeight="1">
      <c r="A545" s="40"/>
      <c r="B545" s="40"/>
      <c r="C545" s="15"/>
      <c r="D545" s="28"/>
      <c r="E545" s="15"/>
      <c r="F545" s="41"/>
    </row>
    <row r="546" spans="1:6" ht="14.25" customHeight="1">
      <c r="A546" s="40"/>
      <c r="B546" s="40"/>
      <c r="C546" s="15"/>
      <c r="D546" s="28"/>
      <c r="E546" s="15"/>
      <c r="F546" s="41"/>
    </row>
    <row r="547" spans="1:6" ht="14.25" customHeight="1">
      <c r="A547" s="40"/>
      <c r="B547" s="40"/>
      <c r="C547" s="15"/>
      <c r="D547" s="28"/>
      <c r="E547" s="15"/>
      <c r="F547" s="41"/>
    </row>
    <row r="548" spans="1:6" ht="14.25" customHeight="1">
      <c r="A548" s="40"/>
      <c r="B548" s="40"/>
      <c r="C548" s="15"/>
      <c r="D548" s="28"/>
      <c r="E548" s="15"/>
      <c r="F548" s="41"/>
    </row>
    <row r="549" spans="1:6" ht="14.25" customHeight="1">
      <c r="A549" s="40"/>
      <c r="B549" s="40"/>
      <c r="C549" s="15"/>
      <c r="D549" s="28"/>
      <c r="E549" s="15"/>
      <c r="F549" s="41"/>
    </row>
    <row r="550" spans="1:6" ht="14.25" customHeight="1">
      <c r="A550" s="40"/>
      <c r="B550" s="40"/>
      <c r="C550" s="15"/>
      <c r="D550" s="28"/>
      <c r="E550" s="15"/>
      <c r="F550" s="41"/>
    </row>
    <row r="551" spans="1:6" ht="14.25" customHeight="1">
      <c r="A551" s="40"/>
      <c r="B551" s="40"/>
      <c r="C551" s="15"/>
      <c r="D551" s="28"/>
      <c r="E551" s="15"/>
      <c r="F551" s="41"/>
    </row>
    <row r="552" spans="1:6" ht="14.25" customHeight="1">
      <c r="A552" s="40"/>
      <c r="B552" s="40"/>
      <c r="C552" s="15"/>
      <c r="D552" s="28"/>
      <c r="E552" s="15"/>
      <c r="F552" s="41"/>
    </row>
    <row r="553" spans="1:6" ht="14.25" customHeight="1">
      <c r="A553" s="40"/>
      <c r="B553" s="40"/>
      <c r="C553" s="15"/>
      <c r="D553" s="28"/>
      <c r="E553" s="15"/>
      <c r="F553" s="41"/>
    </row>
    <row r="554" spans="1:6" ht="14.25" customHeight="1">
      <c r="A554" s="40"/>
      <c r="B554" s="40"/>
      <c r="C554" s="15"/>
      <c r="D554" s="28"/>
      <c r="E554" s="15"/>
      <c r="F554" s="41"/>
    </row>
    <row r="555" spans="1:6" ht="14.25" customHeight="1">
      <c r="A555" s="40"/>
      <c r="B555" s="40"/>
      <c r="C555" s="15"/>
      <c r="D555" s="28"/>
      <c r="E555" s="15"/>
      <c r="F555" s="41"/>
    </row>
    <row r="556" spans="1:6" ht="14.25" customHeight="1">
      <c r="A556" s="40"/>
      <c r="B556" s="40"/>
      <c r="C556" s="15"/>
      <c r="D556" s="28"/>
      <c r="E556" s="15"/>
      <c r="F556" s="41"/>
    </row>
    <row r="557" spans="1:6" ht="14.25" customHeight="1">
      <c r="A557" s="40"/>
      <c r="B557" s="40"/>
      <c r="C557" s="15"/>
      <c r="D557" s="28"/>
      <c r="E557" s="15"/>
      <c r="F557" s="41"/>
    </row>
    <row r="558" spans="1:6" ht="14.25" customHeight="1">
      <c r="A558" s="40"/>
      <c r="B558" s="40"/>
      <c r="C558" s="15"/>
      <c r="D558" s="28"/>
      <c r="E558" s="15"/>
      <c r="F558" s="41"/>
    </row>
    <row r="559" spans="1:6" ht="14.25" customHeight="1">
      <c r="A559" s="40"/>
      <c r="B559" s="40"/>
      <c r="C559" s="15"/>
      <c r="D559" s="28"/>
      <c r="E559" s="15"/>
      <c r="F559" s="41"/>
    </row>
    <row r="560" spans="1:6" ht="14.25" customHeight="1">
      <c r="A560" s="40"/>
      <c r="B560" s="40"/>
      <c r="C560" s="15"/>
      <c r="D560" s="28"/>
      <c r="E560" s="15"/>
      <c r="F560" s="41"/>
    </row>
    <row r="561" spans="1:6" ht="14.25" customHeight="1">
      <c r="A561" s="40"/>
      <c r="B561" s="40"/>
      <c r="C561" s="15"/>
      <c r="D561" s="28"/>
      <c r="E561" s="15"/>
      <c r="F561" s="41"/>
    </row>
    <row r="562" spans="1:6" ht="14.25" customHeight="1">
      <c r="A562" s="40"/>
      <c r="B562" s="40"/>
      <c r="C562" s="15"/>
      <c r="D562" s="28"/>
      <c r="E562" s="15"/>
      <c r="F562" s="41"/>
    </row>
    <row r="563" spans="1:6" ht="14.25" customHeight="1">
      <c r="A563" s="40"/>
      <c r="B563" s="40"/>
      <c r="C563" s="15"/>
      <c r="D563" s="28"/>
      <c r="E563" s="15"/>
      <c r="F563" s="41"/>
    </row>
    <row r="564" spans="1:6" ht="14.25" customHeight="1">
      <c r="A564" s="40"/>
      <c r="B564" s="40"/>
      <c r="C564" s="15"/>
      <c r="D564" s="28"/>
      <c r="E564" s="15"/>
      <c r="F564" s="41"/>
    </row>
    <row r="565" spans="1:6" ht="14.25" customHeight="1">
      <c r="A565" s="40"/>
      <c r="B565" s="40"/>
      <c r="C565" s="15"/>
      <c r="D565" s="28"/>
      <c r="E565" s="15"/>
      <c r="F565" s="41"/>
    </row>
    <row r="566" spans="1:6" ht="14.25" customHeight="1">
      <c r="A566" s="40"/>
      <c r="B566" s="40"/>
      <c r="C566" s="15"/>
      <c r="D566" s="28"/>
      <c r="E566" s="15"/>
      <c r="F566" s="41"/>
    </row>
    <row r="567" spans="1:6" ht="14.25" customHeight="1">
      <c r="A567" s="40"/>
      <c r="B567" s="40"/>
      <c r="C567" s="15"/>
      <c r="D567" s="28"/>
      <c r="E567" s="15"/>
      <c r="F567" s="41"/>
    </row>
    <row r="568" spans="1:6" ht="14.25" customHeight="1">
      <c r="A568" s="40"/>
      <c r="B568" s="40"/>
      <c r="C568" s="15"/>
      <c r="D568" s="28"/>
      <c r="E568" s="15"/>
      <c r="F568" s="41"/>
    </row>
    <row r="569" spans="1:6" ht="14.25" customHeight="1">
      <c r="A569" s="40"/>
      <c r="B569" s="40"/>
      <c r="C569" s="15"/>
      <c r="D569" s="28"/>
      <c r="E569" s="15"/>
      <c r="F569" s="41"/>
    </row>
    <row r="570" spans="1:6" ht="14.25" customHeight="1">
      <c r="A570" s="40"/>
      <c r="B570" s="40"/>
      <c r="C570" s="15"/>
      <c r="D570" s="28"/>
      <c r="E570" s="15"/>
      <c r="F570" s="41"/>
    </row>
    <row r="571" spans="1:6" ht="14.25" customHeight="1">
      <c r="A571" s="40"/>
      <c r="B571" s="40"/>
      <c r="C571" s="15"/>
      <c r="D571" s="28"/>
      <c r="E571" s="15"/>
      <c r="F571" s="41"/>
    </row>
    <row r="572" spans="1:6" ht="14.25" customHeight="1">
      <c r="A572" s="40"/>
      <c r="B572" s="40"/>
      <c r="C572" s="15"/>
      <c r="D572" s="28"/>
      <c r="E572" s="15"/>
      <c r="F572" s="41"/>
    </row>
    <row r="573" spans="1:6" ht="14.25" customHeight="1">
      <c r="A573" s="40"/>
      <c r="B573" s="40"/>
      <c r="C573" s="15"/>
      <c r="D573" s="28"/>
      <c r="E573" s="15"/>
      <c r="F573" s="41"/>
    </row>
    <row r="574" spans="1:6" ht="14.25" customHeight="1">
      <c r="A574" s="40"/>
      <c r="B574" s="40"/>
      <c r="C574" s="15"/>
      <c r="D574" s="28"/>
      <c r="E574" s="15"/>
      <c r="F574" s="41"/>
    </row>
    <row r="575" spans="1:6" ht="14.25" customHeight="1">
      <c r="A575" s="40"/>
      <c r="B575" s="40"/>
      <c r="C575" s="15"/>
      <c r="D575" s="28"/>
      <c r="E575" s="15"/>
      <c r="F575" s="41"/>
    </row>
    <row r="576" spans="1:6" ht="14.25" customHeight="1">
      <c r="A576" s="40"/>
      <c r="B576" s="40"/>
      <c r="C576" s="15"/>
      <c r="D576" s="28"/>
      <c r="E576" s="15"/>
      <c r="F576" s="41"/>
    </row>
    <row r="577" spans="1:6" ht="14.25" customHeight="1">
      <c r="A577" s="40"/>
      <c r="B577" s="40"/>
      <c r="C577" s="15"/>
      <c r="D577" s="28"/>
      <c r="E577" s="15"/>
      <c r="F577" s="41"/>
    </row>
    <row r="578" spans="1:6" ht="14.25" customHeight="1">
      <c r="A578" s="40"/>
      <c r="B578" s="40"/>
      <c r="C578" s="15"/>
      <c r="D578" s="28"/>
      <c r="E578" s="15"/>
      <c r="F578" s="41"/>
    </row>
    <row r="579" spans="1:6" ht="14.25" customHeight="1">
      <c r="A579" s="40"/>
      <c r="B579" s="40"/>
      <c r="C579" s="15"/>
      <c r="D579" s="28"/>
      <c r="E579" s="15"/>
      <c r="F579" s="41"/>
    </row>
    <row r="580" spans="1:6" ht="14.25" customHeight="1">
      <c r="A580" s="40"/>
      <c r="B580" s="40"/>
      <c r="C580" s="15"/>
      <c r="D580" s="28"/>
      <c r="E580" s="15"/>
      <c r="F580" s="41"/>
    </row>
    <row r="581" spans="1:6" ht="14.25" customHeight="1">
      <c r="A581" s="40"/>
      <c r="B581" s="40"/>
      <c r="C581" s="15"/>
      <c r="D581" s="28"/>
      <c r="E581" s="15"/>
      <c r="F581" s="41"/>
    </row>
    <row r="582" spans="1:6" ht="14.25" customHeight="1">
      <c r="A582" s="40"/>
      <c r="B582" s="40"/>
      <c r="C582" s="15"/>
      <c r="D582" s="28"/>
      <c r="E582" s="15"/>
      <c r="F582" s="41"/>
    </row>
    <row r="583" spans="1:6" ht="14.25" customHeight="1">
      <c r="A583" s="40"/>
      <c r="B583" s="40"/>
      <c r="C583" s="15"/>
      <c r="D583" s="28"/>
      <c r="E583" s="15"/>
      <c r="F583" s="41"/>
    </row>
    <row r="584" spans="1:6" ht="14.25" customHeight="1">
      <c r="A584" s="40"/>
      <c r="B584" s="40"/>
      <c r="C584" s="15"/>
      <c r="D584" s="28"/>
      <c r="E584" s="15"/>
      <c r="F584" s="41"/>
    </row>
    <row r="585" spans="1:6" ht="14.25" customHeight="1">
      <c r="A585" s="40"/>
      <c r="B585" s="40"/>
      <c r="C585" s="15"/>
      <c r="D585" s="28"/>
      <c r="E585" s="15"/>
      <c r="F585" s="41"/>
    </row>
    <row r="586" spans="1:6" ht="14.25" customHeight="1">
      <c r="A586" s="40"/>
      <c r="B586" s="40"/>
      <c r="C586" s="15"/>
      <c r="D586" s="28"/>
      <c r="E586" s="15"/>
      <c r="F586" s="41"/>
    </row>
    <row r="587" spans="1:6" ht="14.25" customHeight="1">
      <c r="A587" s="40"/>
      <c r="B587" s="40"/>
      <c r="C587" s="15"/>
      <c r="D587" s="28"/>
      <c r="E587" s="15"/>
      <c r="F587" s="41"/>
    </row>
    <row r="588" spans="1:6" ht="14.25" customHeight="1">
      <c r="A588" s="40"/>
      <c r="B588" s="40"/>
      <c r="C588" s="15"/>
      <c r="D588" s="28"/>
      <c r="E588" s="15"/>
      <c r="F588" s="41"/>
    </row>
    <row r="589" spans="1:6" ht="14.25" customHeight="1">
      <c r="A589" s="40"/>
      <c r="B589" s="40"/>
      <c r="C589" s="15"/>
      <c r="D589" s="28"/>
      <c r="E589" s="15"/>
      <c r="F589" s="41"/>
    </row>
    <row r="590" spans="1:6" ht="14.25" customHeight="1">
      <c r="A590" s="40"/>
      <c r="B590" s="40"/>
      <c r="C590" s="15"/>
      <c r="D590" s="28"/>
      <c r="E590" s="15"/>
      <c r="F590" s="41"/>
    </row>
    <row r="591" spans="1:6" ht="14.25" customHeight="1">
      <c r="A591" s="40"/>
      <c r="B591" s="40"/>
      <c r="C591" s="15"/>
      <c r="D591" s="28"/>
      <c r="E591" s="15"/>
      <c r="F591" s="41"/>
    </row>
    <row r="592" spans="1:6" ht="14.25" customHeight="1">
      <c r="A592" s="40"/>
      <c r="B592" s="40"/>
      <c r="C592" s="15"/>
      <c r="D592" s="28"/>
      <c r="E592" s="15"/>
      <c r="F592" s="41"/>
    </row>
    <row r="593" spans="1:6" ht="14.25" customHeight="1">
      <c r="A593" s="40"/>
      <c r="B593" s="40"/>
      <c r="C593" s="15"/>
      <c r="D593" s="28"/>
      <c r="E593" s="15"/>
      <c r="F593" s="41"/>
    </row>
    <row r="594" spans="1:6" ht="14.25" customHeight="1">
      <c r="A594" s="40"/>
      <c r="B594" s="40"/>
      <c r="C594" s="15"/>
      <c r="D594" s="28"/>
      <c r="E594" s="15"/>
      <c r="F594" s="41"/>
    </row>
    <row r="595" spans="1:6" ht="14.25" customHeight="1">
      <c r="A595" s="40"/>
      <c r="B595" s="40"/>
      <c r="C595" s="15"/>
      <c r="D595" s="28"/>
      <c r="E595" s="15"/>
      <c r="F595" s="41"/>
    </row>
    <row r="596" spans="1:6" ht="14.25" customHeight="1">
      <c r="A596" s="40"/>
      <c r="B596" s="40"/>
      <c r="C596" s="15"/>
      <c r="D596" s="28"/>
      <c r="E596" s="15"/>
      <c r="F596" s="41"/>
    </row>
    <row r="597" spans="1:6" ht="14.25" customHeight="1">
      <c r="A597" s="40"/>
      <c r="B597" s="40"/>
      <c r="C597" s="15"/>
      <c r="D597" s="28"/>
      <c r="E597" s="15"/>
      <c r="F597" s="41"/>
    </row>
    <row r="598" spans="1:6" ht="14.25" customHeight="1">
      <c r="A598" s="40"/>
      <c r="B598" s="40"/>
      <c r="C598" s="15"/>
      <c r="D598" s="28"/>
      <c r="E598" s="15"/>
      <c r="F598" s="41"/>
    </row>
    <row r="599" spans="1:6" ht="14.25" customHeight="1">
      <c r="A599" s="40"/>
      <c r="B599" s="40"/>
      <c r="C599" s="15"/>
      <c r="D599" s="28"/>
      <c r="E599" s="15"/>
      <c r="F599" s="41"/>
    </row>
    <row r="600" spans="1:6" ht="14.25" customHeight="1">
      <c r="A600" s="40"/>
      <c r="B600" s="40"/>
      <c r="C600" s="15"/>
      <c r="D600" s="28"/>
      <c r="E600" s="15"/>
      <c r="F600" s="41"/>
    </row>
    <row r="601" spans="1:6" ht="14.25" customHeight="1">
      <c r="A601" s="40"/>
      <c r="B601" s="40"/>
      <c r="C601" s="15"/>
      <c r="D601" s="28"/>
      <c r="E601" s="15"/>
      <c r="F601" s="41"/>
    </row>
    <row r="602" spans="1:6" ht="14.25" customHeight="1">
      <c r="A602" s="40"/>
      <c r="B602" s="40"/>
      <c r="C602" s="15"/>
      <c r="D602" s="28"/>
      <c r="E602" s="15"/>
      <c r="F602" s="41"/>
    </row>
    <row r="603" spans="1:6" ht="14.25" customHeight="1">
      <c r="A603" s="40"/>
      <c r="B603" s="40"/>
      <c r="C603" s="15"/>
      <c r="D603" s="28"/>
      <c r="E603" s="15"/>
      <c r="F603" s="41"/>
    </row>
    <row r="604" spans="1:6" ht="14.25" customHeight="1">
      <c r="A604" s="40"/>
      <c r="B604" s="40"/>
      <c r="C604" s="15"/>
      <c r="D604" s="28"/>
      <c r="E604" s="15"/>
      <c r="F604" s="41"/>
    </row>
    <row r="605" spans="1:6" ht="14.25" customHeight="1">
      <c r="A605" s="40"/>
      <c r="B605" s="40"/>
      <c r="C605" s="15"/>
      <c r="D605" s="28"/>
      <c r="E605" s="15"/>
      <c r="F605" s="41"/>
    </row>
    <row r="606" spans="1:6" ht="14.25" customHeight="1">
      <c r="A606" s="40"/>
      <c r="B606" s="40"/>
      <c r="C606" s="15"/>
      <c r="D606" s="28"/>
      <c r="E606" s="15"/>
      <c r="F606" s="41"/>
    </row>
    <row r="607" spans="1:6" ht="14.25" customHeight="1">
      <c r="A607" s="40"/>
      <c r="B607" s="40"/>
      <c r="C607" s="15"/>
      <c r="D607" s="28"/>
      <c r="E607" s="15"/>
      <c r="F607" s="41"/>
    </row>
    <row r="608" spans="1:6" ht="14.25" customHeight="1">
      <c r="A608" s="40"/>
      <c r="B608" s="40"/>
      <c r="C608" s="15"/>
      <c r="D608" s="28"/>
      <c r="E608" s="15"/>
      <c r="F608" s="41"/>
    </row>
    <row r="609" spans="1:6" ht="14.25" customHeight="1">
      <c r="A609" s="40"/>
      <c r="B609" s="40"/>
      <c r="C609" s="15"/>
      <c r="D609" s="28"/>
      <c r="E609" s="15"/>
      <c r="F609" s="41"/>
    </row>
    <row r="610" spans="1:6" ht="14.25" customHeight="1">
      <c r="A610" s="40"/>
      <c r="B610" s="40"/>
      <c r="C610" s="15"/>
      <c r="D610" s="28"/>
      <c r="E610" s="15"/>
      <c r="F610" s="41"/>
    </row>
    <row r="611" spans="1:6" ht="14.25" customHeight="1">
      <c r="A611" s="40"/>
      <c r="B611" s="40"/>
      <c r="C611" s="15"/>
      <c r="D611" s="28"/>
      <c r="E611" s="15"/>
      <c r="F611" s="41"/>
    </row>
    <row r="612" spans="1:6" ht="14.25" customHeight="1">
      <c r="A612" s="40"/>
      <c r="B612" s="40"/>
      <c r="C612" s="15"/>
      <c r="D612" s="28"/>
      <c r="E612" s="15"/>
      <c r="F612" s="41"/>
    </row>
    <row r="613" spans="1:6" ht="14.25" customHeight="1">
      <c r="A613" s="40"/>
      <c r="B613" s="40"/>
      <c r="C613" s="15"/>
      <c r="D613" s="28"/>
      <c r="E613" s="15"/>
      <c r="F613" s="41"/>
    </row>
    <row r="614" spans="1:6" ht="14.25" customHeight="1">
      <c r="A614" s="40"/>
      <c r="B614" s="40"/>
      <c r="C614" s="15"/>
      <c r="D614" s="28"/>
      <c r="E614" s="15"/>
      <c r="F614" s="41"/>
    </row>
    <row r="615" spans="1:6" ht="14.25" customHeight="1">
      <c r="A615" s="40"/>
      <c r="B615" s="40"/>
      <c r="C615" s="15"/>
      <c r="D615" s="28"/>
      <c r="E615" s="15"/>
      <c r="F615" s="41"/>
    </row>
    <row r="616" spans="1:6" ht="14.25" customHeight="1">
      <c r="A616" s="40"/>
      <c r="B616" s="40"/>
      <c r="C616" s="15"/>
      <c r="D616" s="28"/>
      <c r="E616" s="15"/>
      <c r="F616" s="41"/>
    </row>
    <row r="617" spans="1:6" ht="14.25" customHeight="1">
      <c r="A617" s="40"/>
      <c r="B617" s="40"/>
      <c r="C617" s="15"/>
      <c r="D617" s="28"/>
      <c r="E617" s="15"/>
      <c r="F617" s="41"/>
    </row>
    <row r="618" spans="1:6" ht="14.25" customHeight="1">
      <c r="A618" s="40"/>
      <c r="B618" s="40"/>
      <c r="C618" s="15"/>
      <c r="D618" s="28"/>
      <c r="E618" s="15"/>
      <c r="F618" s="41"/>
    </row>
    <row r="619" spans="1:6" ht="14.25" customHeight="1">
      <c r="A619" s="40"/>
      <c r="B619" s="40"/>
      <c r="C619" s="15"/>
      <c r="D619" s="28"/>
      <c r="E619" s="15"/>
      <c r="F619" s="41"/>
    </row>
    <row r="620" spans="1:6" ht="14.25" customHeight="1">
      <c r="A620" s="40"/>
      <c r="B620" s="40"/>
      <c r="C620" s="15"/>
      <c r="D620" s="28"/>
      <c r="E620" s="15"/>
      <c r="F620" s="41"/>
    </row>
    <row r="621" spans="1:6" ht="14.25" customHeight="1">
      <c r="A621" s="40"/>
      <c r="B621" s="40"/>
      <c r="C621" s="15"/>
      <c r="D621" s="28"/>
      <c r="E621" s="15"/>
      <c r="F621" s="41"/>
    </row>
    <row r="622" spans="1:6" ht="14.25" customHeight="1">
      <c r="A622" s="40"/>
      <c r="B622" s="40"/>
      <c r="C622" s="15"/>
      <c r="D622" s="28"/>
      <c r="E622" s="15"/>
      <c r="F622" s="41"/>
    </row>
    <row r="623" spans="1:6" ht="14.25" customHeight="1">
      <c r="A623" s="40"/>
      <c r="B623" s="40"/>
      <c r="C623" s="15"/>
      <c r="D623" s="28"/>
      <c r="E623" s="15"/>
      <c r="F623" s="41"/>
    </row>
    <row r="624" spans="1:6" ht="14.25" customHeight="1">
      <c r="A624" s="40"/>
      <c r="B624" s="40"/>
      <c r="C624" s="15"/>
      <c r="D624" s="28"/>
      <c r="E624" s="15"/>
      <c r="F624" s="41"/>
    </row>
    <row r="625" spans="1:6" ht="14.25" customHeight="1">
      <c r="A625" s="40"/>
      <c r="B625" s="40"/>
      <c r="C625" s="15"/>
      <c r="D625" s="28"/>
      <c r="E625" s="15"/>
      <c r="F625" s="41"/>
    </row>
    <row r="626" spans="1:6" ht="14.25" customHeight="1">
      <c r="A626" s="40"/>
      <c r="B626" s="40"/>
      <c r="C626" s="15"/>
      <c r="D626" s="28"/>
      <c r="E626" s="15"/>
      <c r="F626" s="41"/>
    </row>
    <row r="627" spans="1:6" ht="14.25" customHeight="1">
      <c r="A627" s="40"/>
      <c r="B627" s="40"/>
      <c r="C627" s="15"/>
      <c r="D627" s="28"/>
      <c r="E627" s="15"/>
      <c r="F627" s="41"/>
    </row>
    <row r="628" spans="1:6" ht="14.25" customHeight="1">
      <c r="A628" s="40"/>
      <c r="B628" s="40"/>
      <c r="C628" s="15"/>
      <c r="D628" s="28"/>
      <c r="E628" s="15"/>
      <c r="F628" s="41"/>
    </row>
    <row r="629" spans="1:6" ht="14.25" customHeight="1">
      <c r="A629" s="40"/>
      <c r="B629" s="40"/>
      <c r="C629" s="15"/>
      <c r="D629" s="28"/>
      <c r="E629" s="15"/>
      <c r="F629" s="41"/>
    </row>
    <row r="630" spans="1:6" ht="14.25" customHeight="1">
      <c r="A630" s="40"/>
      <c r="B630" s="40"/>
      <c r="C630" s="15"/>
      <c r="D630" s="28"/>
      <c r="E630" s="15"/>
      <c r="F630" s="41"/>
    </row>
    <row r="631" spans="1:6" ht="14.25" customHeight="1">
      <c r="A631" s="40"/>
      <c r="B631" s="40"/>
      <c r="C631" s="15"/>
      <c r="D631" s="28"/>
      <c r="E631" s="15"/>
      <c r="F631" s="41"/>
    </row>
    <row r="632" spans="1:6" ht="14.25" customHeight="1">
      <c r="A632" s="40"/>
      <c r="B632" s="40"/>
      <c r="C632" s="15"/>
      <c r="D632" s="28"/>
      <c r="E632" s="15"/>
      <c r="F632" s="41"/>
    </row>
    <row r="633" spans="1:6" ht="14.25" customHeight="1">
      <c r="A633" s="40"/>
      <c r="B633" s="40"/>
      <c r="C633" s="15"/>
      <c r="D633" s="28"/>
      <c r="E633" s="15"/>
      <c r="F633" s="41"/>
    </row>
    <row r="634" spans="1:6" ht="14.25" customHeight="1">
      <c r="A634" s="40"/>
      <c r="B634" s="40"/>
      <c r="C634" s="15"/>
      <c r="D634" s="28"/>
      <c r="E634" s="15"/>
      <c r="F634" s="41"/>
    </row>
    <row r="635" spans="1:6" ht="14.25" customHeight="1">
      <c r="A635" s="40"/>
      <c r="B635" s="40"/>
      <c r="C635" s="15"/>
      <c r="D635" s="28"/>
      <c r="E635" s="15"/>
      <c r="F635" s="41"/>
    </row>
    <row r="636" spans="1:6" ht="14.25" customHeight="1">
      <c r="A636" s="40"/>
      <c r="B636" s="40"/>
      <c r="C636" s="15"/>
      <c r="D636" s="28"/>
      <c r="E636" s="15"/>
      <c r="F636" s="41"/>
    </row>
    <row r="637" spans="1:6" ht="14.25" customHeight="1">
      <c r="A637" s="40"/>
      <c r="B637" s="40"/>
      <c r="C637" s="15"/>
      <c r="D637" s="28"/>
      <c r="E637" s="15"/>
      <c r="F637" s="41"/>
    </row>
    <row r="638" spans="1:6" ht="14.25" customHeight="1">
      <c r="A638" s="40"/>
      <c r="B638" s="40"/>
      <c r="C638" s="15"/>
      <c r="D638" s="28"/>
      <c r="E638" s="15"/>
      <c r="F638" s="41"/>
    </row>
    <row r="639" spans="1:6" ht="14.25" customHeight="1">
      <c r="A639" s="40"/>
      <c r="B639" s="40"/>
      <c r="C639" s="15"/>
      <c r="D639" s="28"/>
      <c r="E639" s="15"/>
      <c r="F639" s="41"/>
    </row>
    <row r="640" spans="1:6" ht="14.25" customHeight="1">
      <c r="A640" s="40"/>
      <c r="B640" s="40"/>
      <c r="C640" s="15"/>
      <c r="D640" s="28"/>
      <c r="E640" s="15"/>
      <c r="F640" s="41"/>
    </row>
    <row r="641" spans="1:6" ht="14.25" customHeight="1">
      <c r="A641" s="40"/>
      <c r="B641" s="40"/>
      <c r="C641" s="15"/>
      <c r="D641" s="28"/>
      <c r="E641" s="15"/>
      <c r="F641" s="41"/>
    </row>
    <row r="642" spans="1:6" ht="14.25" customHeight="1">
      <c r="A642" s="40"/>
      <c r="B642" s="40"/>
      <c r="C642" s="15"/>
      <c r="D642" s="28"/>
      <c r="E642" s="15"/>
      <c r="F642" s="41"/>
    </row>
    <row r="643" spans="1:6" ht="14.25" customHeight="1">
      <c r="A643" s="40"/>
      <c r="B643" s="40"/>
      <c r="C643" s="15"/>
      <c r="D643" s="28"/>
      <c r="E643" s="15"/>
      <c r="F643" s="41"/>
    </row>
    <row r="644" spans="1:6" ht="14.25" customHeight="1">
      <c r="A644" s="40"/>
      <c r="B644" s="40"/>
      <c r="C644" s="15"/>
      <c r="D644" s="28"/>
      <c r="E644" s="15"/>
      <c r="F644" s="41"/>
    </row>
    <row r="645" spans="1:6" ht="14.25" customHeight="1">
      <c r="A645" s="40"/>
      <c r="B645" s="40"/>
      <c r="C645" s="15"/>
      <c r="D645" s="28"/>
      <c r="E645" s="15"/>
      <c r="F645" s="41"/>
    </row>
    <row r="646" spans="1:6" ht="14.25" customHeight="1">
      <c r="A646" s="40"/>
      <c r="B646" s="40"/>
      <c r="C646" s="15"/>
      <c r="D646" s="28"/>
      <c r="E646" s="15"/>
      <c r="F646" s="41"/>
    </row>
    <row r="647" spans="1:6" ht="14.25" customHeight="1">
      <c r="A647" s="40"/>
      <c r="B647" s="40"/>
      <c r="C647" s="15"/>
      <c r="D647" s="28"/>
      <c r="E647" s="15"/>
      <c r="F647" s="41"/>
    </row>
    <row r="648" spans="1:6" ht="14.25" customHeight="1">
      <c r="A648" s="40"/>
      <c r="B648" s="40"/>
      <c r="C648" s="15"/>
      <c r="D648" s="28"/>
      <c r="E648" s="15"/>
      <c r="F648" s="41"/>
    </row>
    <row r="649" spans="1:6" ht="14.25" customHeight="1">
      <c r="A649" s="40"/>
      <c r="B649" s="40"/>
      <c r="C649" s="15"/>
      <c r="D649" s="28"/>
      <c r="E649" s="15"/>
      <c r="F649" s="41"/>
    </row>
    <row r="650" spans="1:6" ht="14.25" customHeight="1">
      <c r="A650" s="40"/>
      <c r="B650" s="40"/>
      <c r="C650" s="15"/>
      <c r="D650" s="28"/>
      <c r="E650" s="15"/>
      <c r="F650" s="41"/>
    </row>
    <row r="651" spans="1:6" ht="14.25" customHeight="1">
      <c r="A651" s="40"/>
      <c r="B651" s="40"/>
      <c r="C651" s="15"/>
      <c r="D651" s="28"/>
      <c r="E651" s="15"/>
      <c r="F651" s="41"/>
    </row>
    <row r="652" spans="1:6" ht="14.25" customHeight="1">
      <c r="A652" s="40"/>
      <c r="B652" s="40"/>
      <c r="C652" s="15"/>
      <c r="D652" s="28"/>
      <c r="E652" s="15"/>
      <c r="F652" s="41"/>
    </row>
    <row r="653" spans="1:6" ht="14.25" customHeight="1">
      <c r="A653" s="40"/>
      <c r="B653" s="40"/>
      <c r="C653" s="15"/>
      <c r="D653" s="28"/>
      <c r="E653" s="15"/>
      <c r="F653" s="41"/>
    </row>
    <row r="654" spans="1:6" ht="14.25" customHeight="1">
      <c r="A654" s="40"/>
      <c r="B654" s="40"/>
      <c r="C654" s="15"/>
      <c r="D654" s="28"/>
      <c r="E654" s="15"/>
      <c r="F654" s="41"/>
    </row>
    <row r="655" spans="1:6" ht="14.25" customHeight="1">
      <c r="A655" s="40"/>
      <c r="B655" s="40"/>
      <c r="C655" s="15"/>
      <c r="D655" s="28"/>
      <c r="E655" s="15"/>
      <c r="F655" s="41"/>
    </row>
    <row r="656" spans="1:6" ht="14.25" customHeight="1">
      <c r="A656" s="40"/>
      <c r="B656" s="40"/>
      <c r="C656" s="15"/>
      <c r="D656" s="28"/>
      <c r="E656" s="15"/>
      <c r="F656" s="41"/>
    </row>
    <row r="657" spans="1:6" ht="14.25" customHeight="1">
      <c r="A657" s="40"/>
      <c r="B657" s="40"/>
      <c r="C657" s="15"/>
      <c r="D657" s="28"/>
      <c r="E657" s="15"/>
      <c r="F657" s="41"/>
    </row>
    <row r="658" spans="1:6" ht="14.25" customHeight="1">
      <c r="A658" s="40"/>
      <c r="B658" s="40"/>
      <c r="C658" s="15"/>
      <c r="D658" s="28"/>
      <c r="E658" s="15"/>
      <c r="F658" s="41"/>
    </row>
    <row r="659" spans="1:6" ht="14.25" customHeight="1">
      <c r="A659" s="40"/>
      <c r="B659" s="40"/>
      <c r="C659" s="15"/>
      <c r="D659" s="28"/>
      <c r="E659" s="15"/>
      <c r="F659" s="41"/>
    </row>
    <row r="660" spans="1:6" ht="14.25" customHeight="1">
      <c r="A660" s="40"/>
      <c r="B660" s="40"/>
      <c r="C660" s="15"/>
      <c r="D660" s="28"/>
      <c r="E660" s="15"/>
      <c r="F660" s="41"/>
    </row>
    <row r="661" spans="1:6" ht="14.25" customHeight="1">
      <c r="A661" s="40"/>
      <c r="B661" s="40"/>
      <c r="C661" s="15"/>
      <c r="D661" s="28"/>
      <c r="E661" s="15"/>
      <c r="F661" s="41"/>
    </row>
    <row r="662" spans="1:6" ht="14.25" customHeight="1">
      <c r="A662" s="40"/>
      <c r="B662" s="40"/>
      <c r="C662" s="15"/>
      <c r="D662" s="28"/>
      <c r="E662" s="15"/>
      <c r="F662" s="41"/>
    </row>
    <row r="663" spans="1:6" ht="14.25" customHeight="1">
      <c r="A663" s="40"/>
      <c r="B663" s="40"/>
      <c r="C663" s="15"/>
      <c r="D663" s="28"/>
      <c r="E663" s="15"/>
      <c r="F663" s="41"/>
    </row>
    <row r="664" spans="1:6" ht="14.25" customHeight="1">
      <c r="A664" s="40"/>
      <c r="B664" s="40"/>
      <c r="C664" s="15"/>
      <c r="D664" s="28"/>
      <c r="E664" s="15"/>
      <c r="F664" s="41"/>
    </row>
    <row r="665" spans="1:6" ht="14.25" customHeight="1">
      <c r="A665" s="40"/>
      <c r="B665" s="40"/>
      <c r="C665" s="15"/>
      <c r="D665" s="28"/>
      <c r="E665" s="15"/>
      <c r="F665" s="41"/>
    </row>
    <row r="666" spans="1:6" ht="14.25" customHeight="1">
      <c r="A666" s="40"/>
      <c r="B666" s="40"/>
      <c r="C666" s="15"/>
      <c r="D666" s="28"/>
      <c r="E666" s="15"/>
      <c r="F666" s="41"/>
    </row>
    <row r="667" spans="1:6" ht="14.25" customHeight="1">
      <c r="A667" s="40"/>
      <c r="B667" s="40"/>
      <c r="C667" s="15"/>
      <c r="D667" s="28"/>
      <c r="E667" s="15"/>
      <c r="F667" s="41"/>
    </row>
    <row r="668" spans="1:6" ht="14.25" customHeight="1">
      <c r="A668" s="40"/>
      <c r="B668" s="40"/>
      <c r="C668" s="15"/>
      <c r="D668" s="28"/>
      <c r="E668" s="15"/>
      <c r="F668" s="41"/>
    </row>
    <row r="669" spans="1:6" ht="14.25" customHeight="1">
      <c r="A669" s="40"/>
      <c r="B669" s="40"/>
      <c r="C669" s="15"/>
      <c r="D669" s="28"/>
      <c r="E669" s="15"/>
      <c r="F669" s="41"/>
    </row>
    <row r="670" spans="1:6" ht="14.25" customHeight="1">
      <c r="A670" s="40"/>
      <c r="B670" s="40"/>
      <c r="C670" s="15"/>
      <c r="D670" s="28"/>
      <c r="E670" s="15"/>
      <c r="F670" s="41"/>
    </row>
    <row r="671" spans="1:6" ht="14.25" customHeight="1">
      <c r="A671" s="40"/>
      <c r="B671" s="40"/>
      <c r="C671" s="15"/>
      <c r="D671" s="28"/>
      <c r="E671" s="15"/>
      <c r="F671" s="41"/>
    </row>
    <row r="672" spans="1:6" ht="14.25" customHeight="1">
      <c r="A672" s="40"/>
      <c r="B672" s="40"/>
      <c r="C672" s="15"/>
      <c r="D672" s="28"/>
      <c r="E672" s="15"/>
      <c r="F672" s="41"/>
    </row>
    <row r="673" spans="1:6" ht="14.25" customHeight="1">
      <c r="A673" s="40"/>
      <c r="B673" s="40"/>
      <c r="C673" s="15"/>
      <c r="D673" s="28"/>
      <c r="E673" s="15"/>
      <c r="F673" s="41"/>
    </row>
    <row r="674" spans="1:6" ht="14.25" customHeight="1">
      <c r="A674" s="40"/>
      <c r="B674" s="40"/>
      <c r="C674" s="15"/>
      <c r="D674" s="28"/>
      <c r="E674" s="15"/>
      <c r="F674" s="41"/>
    </row>
    <row r="675" spans="1:6" ht="14.25" customHeight="1">
      <c r="A675" s="40"/>
      <c r="B675" s="40"/>
      <c r="C675" s="15"/>
      <c r="D675" s="28"/>
      <c r="E675" s="15"/>
      <c r="F675" s="41"/>
    </row>
    <row r="676" spans="1:6" ht="14.25" customHeight="1">
      <c r="A676" s="40"/>
      <c r="B676" s="40"/>
      <c r="C676" s="15"/>
      <c r="D676" s="28"/>
      <c r="E676" s="15"/>
      <c r="F676" s="41"/>
    </row>
    <row r="677" spans="1:6" ht="14.25" customHeight="1">
      <c r="A677" s="40"/>
      <c r="B677" s="40"/>
      <c r="C677" s="15"/>
      <c r="D677" s="28"/>
      <c r="E677" s="15"/>
      <c r="F677" s="41"/>
    </row>
    <row r="678" spans="1:6" ht="14.25" customHeight="1">
      <c r="A678" s="40"/>
      <c r="B678" s="40"/>
      <c r="C678" s="15"/>
      <c r="D678" s="28"/>
      <c r="E678" s="15"/>
      <c r="F678" s="41"/>
    </row>
    <row r="679" spans="1:6" ht="14.25" customHeight="1">
      <c r="A679" s="40"/>
      <c r="B679" s="40"/>
      <c r="C679" s="15"/>
      <c r="D679" s="28"/>
      <c r="E679" s="15"/>
      <c r="F679" s="41"/>
    </row>
    <row r="680" spans="1:6" ht="14.25" customHeight="1">
      <c r="A680" s="40"/>
      <c r="B680" s="40"/>
      <c r="C680" s="15"/>
      <c r="D680" s="28"/>
      <c r="E680" s="15"/>
      <c r="F680" s="41"/>
    </row>
    <row r="681" spans="1:6" ht="14.25" customHeight="1">
      <c r="A681" s="40"/>
      <c r="B681" s="40"/>
      <c r="C681" s="15"/>
      <c r="D681" s="28"/>
      <c r="E681" s="15"/>
      <c r="F681" s="41"/>
    </row>
    <row r="682" spans="1:6" ht="14.25" customHeight="1">
      <c r="A682" s="40"/>
      <c r="B682" s="40"/>
      <c r="C682" s="15"/>
      <c r="D682" s="28"/>
      <c r="E682" s="15"/>
      <c r="F682" s="41"/>
    </row>
    <row r="683" spans="1:6" ht="14.25" customHeight="1">
      <c r="A683" s="40"/>
      <c r="B683" s="40"/>
      <c r="C683" s="15"/>
      <c r="D683" s="28"/>
      <c r="E683" s="15"/>
      <c r="F683" s="41"/>
    </row>
    <row r="684" spans="1:6" ht="14.25" customHeight="1">
      <c r="A684" s="40"/>
      <c r="B684" s="40"/>
      <c r="C684" s="15"/>
      <c r="D684" s="28"/>
      <c r="E684" s="15"/>
      <c r="F684" s="41"/>
    </row>
    <row r="685" spans="1:6" ht="14.25" customHeight="1">
      <c r="A685" s="40"/>
      <c r="B685" s="40"/>
      <c r="C685" s="15"/>
      <c r="D685" s="28"/>
      <c r="E685" s="15"/>
      <c r="F685" s="41"/>
    </row>
    <row r="686" spans="1:6" ht="14.25" customHeight="1">
      <c r="A686" s="40"/>
      <c r="B686" s="40"/>
      <c r="C686" s="15"/>
      <c r="D686" s="28"/>
      <c r="E686" s="15"/>
      <c r="F686" s="41"/>
    </row>
    <row r="687" spans="1:6" ht="14.25" customHeight="1">
      <c r="A687" s="40"/>
      <c r="B687" s="40"/>
      <c r="C687" s="15"/>
      <c r="D687" s="28"/>
      <c r="E687" s="15"/>
      <c r="F687" s="41"/>
    </row>
    <row r="688" spans="1:6" ht="14.25" customHeight="1">
      <c r="A688" s="40"/>
      <c r="B688" s="40"/>
      <c r="C688" s="15"/>
      <c r="D688" s="28"/>
      <c r="E688" s="15"/>
      <c r="F688" s="41"/>
    </row>
    <row r="689" spans="1:6" ht="14.25" customHeight="1">
      <c r="A689" s="40"/>
      <c r="B689" s="40"/>
      <c r="C689" s="15"/>
      <c r="D689" s="28"/>
      <c r="E689" s="15"/>
      <c r="F689" s="41"/>
    </row>
    <row r="690" spans="1:6" ht="14.25" customHeight="1">
      <c r="A690" s="40"/>
      <c r="B690" s="40"/>
      <c r="C690" s="15"/>
      <c r="D690" s="28"/>
      <c r="E690" s="15"/>
      <c r="F690" s="41"/>
    </row>
    <row r="691" spans="1:6" ht="14.25" customHeight="1">
      <c r="A691" s="40"/>
      <c r="B691" s="40"/>
      <c r="C691" s="15"/>
      <c r="D691" s="28"/>
      <c r="E691" s="15"/>
      <c r="F691" s="41"/>
    </row>
    <row r="692" spans="1:6" ht="14.25" customHeight="1">
      <c r="A692" s="40"/>
      <c r="B692" s="40"/>
      <c r="C692" s="15"/>
      <c r="D692" s="28"/>
      <c r="E692" s="15"/>
      <c r="F692" s="41"/>
    </row>
    <row r="693" spans="1:6" ht="14.25" customHeight="1">
      <c r="A693" s="40"/>
      <c r="B693" s="40"/>
      <c r="C693" s="15"/>
      <c r="D693" s="28"/>
      <c r="E693" s="15"/>
      <c r="F693" s="41"/>
    </row>
    <row r="694" spans="1:6" ht="14.25" customHeight="1">
      <c r="A694" s="40"/>
      <c r="B694" s="40"/>
      <c r="C694" s="15"/>
      <c r="D694" s="28"/>
      <c r="E694" s="15"/>
      <c r="F694" s="41"/>
    </row>
    <row r="695" spans="1:6" ht="14.25" customHeight="1">
      <c r="A695" s="40"/>
      <c r="B695" s="40"/>
      <c r="C695" s="15"/>
      <c r="D695" s="28"/>
      <c r="E695" s="15"/>
      <c r="F695" s="41"/>
    </row>
    <row r="696" spans="1:6" ht="14.25" customHeight="1">
      <c r="A696" s="40"/>
      <c r="B696" s="40"/>
      <c r="C696" s="15"/>
      <c r="D696" s="28"/>
      <c r="E696" s="15"/>
      <c r="F696" s="41"/>
    </row>
    <row r="697" spans="1:6" ht="14.25" customHeight="1">
      <c r="A697" s="40"/>
      <c r="B697" s="40"/>
      <c r="C697" s="15"/>
      <c r="D697" s="28"/>
      <c r="E697" s="15"/>
      <c r="F697" s="41"/>
    </row>
    <row r="698" spans="1:6" ht="14.25" customHeight="1">
      <c r="A698" s="40"/>
      <c r="B698" s="40"/>
      <c r="C698" s="15"/>
      <c r="D698" s="28"/>
      <c r="E698" s="15"/>
      <c r="F698" s="41"/>
    </row>
    <row r="699" spans="1:6" ht="14.25" customHeight="1">
      <c r="A699" s="40"/>
      <c r="B699" s="40"/>
      <c r="C699" s="15"/>
      <c r="D699" s="28"/>
      <c r="E699" s="15"/>
      <c r="F699" s="41"/>
    </row>
    <row r="700" spans="1:6" ht="14.25" customHeight="1">
      <c r="A700" s="40"/>
      <c r="B700" s="40"/>
      <c r="C700" s="15"/>
      <c r="D700" s="28"/>
      <c r="E700" s="15"/>
      <c r="F700" s="41"/>
    </row>
    <row r="701" spans="1:6" ht="14.25" customHeight="1">
      <c r="A701" s="40"/>
      <c r="B701" s="40"/>
      <c r="C701" s="15"/>
      <c r="D701" s="28"/>
      <c r="E701" s="15"/>
      <c r="F701" s="41"/>
    </row>
    <row r="702" spans="1:6" ht="14.25" customHeight="1">
      <c r="A702" s="40"/>
      <c r="B702" s="40"/>
      <c r="C702" s="15"/>
      <c r="D702" s="28"/>
      <c r="E702" s="15"/>
      <c r="F702" s="41"/>
    </row>
    <row r="703" spans="1:6" ht="14.25" customHeight="1">
      <c r="A703" s="40"/>
      <c r="B703" s="40"/>
      <c r="C703" s="15"/>
      <c r="D703" s="28"/>
      <c r="E703" s="15"/>
      <c r="F703" s="41"/>
    </row>
    <row r="704" spans="1:6" ht="14.25" customHeight="1">
      <c r="A704" s="40"/>
      <c r="B704" s="40"/>
      <c r="C704" s="15"/>
      <c r="D704" s="28"/>
      <c r="E704" s="15"/>
      <c r="F704" s="41"/>
    </row>
    <row r="705" spans="1:6" ht="14.25" customHeight="1">
      <c r="A705" s="40"/>
      <c r="B705" s="40"/>
      <c r="C705" s="15"/>
      <c r="D705" s="28"/>
      <c r="E705" s="15"/>
      <c r="F705" s="41"/>
    </row>
    <row r="706" spans="1:6" ht="14.25" customHeight="1">
      <c r="A706" s="40"/>
      <c r="B706" s="40"/>
      <c r="C706" s="15"/>
      <c r="D706" s="28"/>
      <c r="E706" s="15"/>
      <c r="F706" s="41"/>
    </row>
    <row r="707" spans="1:6" ht="14.25" customHeight="1">
      <c r="A707" s="40"/>
      <c r="B707" s="40"/>
      <c r="C707" s="15"/>
      <c r="D707" s="28"/>
      <c r="E707" s="15"/>
      <c r="F707" s="41"/>
    </row>
    <row r="708" spans="1:6" ht="14.25" customHeight="1">
      <c r="A708" s="40"/>
      <c r="B708" s="40"/>
      <c r="C708" s="15"/>
      <c r="D708" s="28"/>
      <c r="E708" s="15"/>
      <c r="F708" s="41"/>
    </row>
    <row r="709" spans="1:6" ht="14.25" customHeight="1">
      <c r="A709" s="40"/>
      <c r="B709" s="40"/>
      <c r="C709" s="15"/>
      <c r="D709" s="28"/>
      <c r="E709" s="15"/>
      <c r="F709" s="41"/>
    </row>
    <row r="710" spans="1:6" ht="14.25" customHeight="1">
      <c r="A710" s="40"/>
      <c r="B710" s="40"/>
      <c r="C710" s="15"/>
      <c r="D710" s="28"/>
      <c r="E710" s="15"/>
      <c r="F710" s="41"/>
    </row>
    <row r="711" spans="1:6" ht="14.25" customHeight="1">
      <c r="A711" s="40"/>
      <c r="B711" s="40"/>
      <c r="C711" s="15"/>
      <c r="D711" s="28"/>
      <c r="E711" s="15"/>
      <c r="F711" s="41"/>
    </row>
    <row r="712" spans="1:6" ht="14.25" customHeight="1">
      <c r="A712" s="40"/>
      <c r="B712" s="40"/>
      <c r="C712" s="15"/>
      <c r="D712" s="28"/>
      <c r="E712" s="15"/>
      <c r="F712" s="41"/>
    </row>
    <row r="713" spans="1:6" ht="14.25" customHeight="1">
      <c r="A713" s="40"/>
      <c r="B713" s="40"/>
      <c r="C713" s="15"/>
      <c r="D713" s="28"/>
      <c r="E713" s="15"/>
      <c r="F713" s="41"/>
    </row>
    <row r="714" spans="1:6" ht="14.25" customHeight="1">
      <c r="A714" s="40"/>
      <c r="B714" s="40"/>
      <c r="C714" s="15"/>
      <c r="D714" s="28"/>
      <c r="E714" s="15"/>
      <c r="F714" s="41"/>
    </row>
    <row r="715" spans="1:6" ht="14.25" customHeight="1">
      <c r="A715" s="40"/>
      <c r="B715" s="40"/>
      <c r="C715" s="15"/>
      <c r="D715" s="28"/>
      <c r="E715" s="15"/>
      <c r="F715" s="41"/>
    </row>
    <row r="716" spans="1:6" ht="14.25" customHeight="1">
      <c r="A716" s="40"/>
      <c r="B716" s="40"/>
      <c r="C716" s="15"/>
      <c r="D716" s="28"/>
      <c r="E716" s="15"/>
      <c r="F716" s="41"/>
    </row>
    <row r="717" spans="1:6" ht="14.25" customHeight="1">
      <c r="A717" s="40"/>
      <c r="B717" s="40"/>
      <c r="C717" s="15"/>
      <c r="D717" s="28"/>
      <c r="E717" s="15"/>
      <c r="F717" s="41"/>
    </row>
    <row r="718" spans="1:6" ht="14.25" customHeight="1">
      <c r="A718" s="40"/>
      <c r="B718" s="40"/>
      <c r="C718" s="15"/>
      <c r="D718" s="28"/>
      <c r="E718" s="15"/>
      <c r="F718" s="41"/>
    </row>
    <row r="719" spans="1:6" ht="14.25" customHeight="1">
      <c r="A719" s="40"/>
      <c r="B719" s="40"/>
      <c r="C719" s="15"/>
      <c r="D719" s="28"/>
      <c r="E719" s="15"/>
      <c r="F719" s="41"/>
    </row>
    <row r="720" spans="1:6" ht="14.25" customHeight="1">
      <c r="A720" s="40"/>
      <c r="B720" s="40"/>
      <c r="C720" s="15"/>
      <c r="D720" s="28"/>
      <c r="E720" s="15"/>
      <c r="F720" s="41"/>
    </row>
    <row r="721" spans="1:6" ht="14.25" customHeight="1">
      <c r="A721" s="40"/>
      <c r="B721" s="40"/>
      <c r="C721" s="15"/>
      <c r="D721" s="28"/>
      <c r="E721" s="15"/>
      <c r="F721" s="41"/>
    </row>
    <row r="722" spans="1:6" ht="14.25" customHeight="1">
      <c r="A722" s="40"/>
      <c r="B722" s="40"/>
      <c r="C722" s="15"/>
      <c r="D722" s="28"/>
      <c r="E722" s="15"/>
      <c r="F722" s="41"/>
    </row>
    <row r="723" spans="1:6" ht="14.25" customHeight="1">
      <c r="A723" s="40"/>
      <c r="B723" s="40"/>
      <c r="C723" s="15"/>
      <c r="D723" s="28"/>
      <c r="E723" s="15"/>
      <c r="F723" s="41"/>
    </row>
    <row r="724" spans="1:6" ht="14.25" customHeight="1">
      <c r="A724" s="40"/>
      <c r="B724" s="40"/>
      <c r="C724" s="15"/>
      <c r="D724" s="28"/>
      <c r="E724" s="15"/>
      <c r="F724" s="41"/>
    </row>
    <row r="725" spans="1:6" ht="14.25" customHeight="1">
      <c r="A725" s="40"/>
      <c r="B725" s="40"/>
      <c r="C725" s="15"/>
      <c r="D725" s="28"/>
      <c r="E725" s="15"/>
      <c r="F725" s="41"/>
    </row>
    <row r="726" spans="1:6" ht="14.25" customHeight="1">
      <c r="A726" s="40"/>
      <c r="B726" s="40"/>
      <c r="C726" s="15"/>
      <c r="D726" s="28"/>
      <c r="E726" s="15"/>
      <c r="F726" s="41"/>
    </row>
    <row r="727" spans="1:6" ht="14.25" customHeight="1">
      <c r="A727" s="40"/>
      <c r="B727" s="40"/>
      <c r="C727" s="15"/>
      <c r="D727" s="28"/>
      <c r="E727" s="15"/>
      <c r="F727" s="41"/>
    </row>
    <row r="728" spans="1:6" ht="14.25" customHeight="1">
      <c r="A728" s="40"/>
      <c r="B728" s="40"/>
      <c r="C728" s="15"/>
      <c r="D728" s="28"/>
      <c r="E728" s="15"/>
      <c r="F728" s="41"/>
    </row>
    <row r="729" spans="1:6" ht="14.25" customHeight="1">
      <c r="A729" s="40"/>
      <c r="B729" s="40"/>
      <c r="C729" s="15"/>
      <c r="D729" s="28"/>
      <c r="E729" s="15"/>
      <c r="F729" s="41"/>
    </row>
    <row r="730" spans="1:6" ht="14.25" customHeight="1">
      <c r="A730" s="40"/>
      <c r="B730" s="40"/>
      <c r="C730" s="15"/>
      <c r="D730" s="28"/>
      <c r="E730" s="15"/>
      <c r="F730" s="41"/>
    </row>
    <row r="731" spans="1:6" ht="14.25" customHeight="1">
      <c r="A731" s="40"/>
      <c r="B731" s="40"/>
      <c r="C731" s="15"/>
      <c r="D731" s="28"/>
      <c r="E731" s="15"/>
      <c r="F731" s="41"/>
    </row>
    <row r="732" spans="1:6" ht="14.25" customHeight="1">
      <c r="A732" s="40"/>
      <c r="B732" s="40"/>
      <c r="C732" s="15"/>
      <c r="D732" s="28"/>
      <c r="E732" s="15"/>
      <c r="F732" s="41"/>
    </row>
    <row r="733" spans="1:6" ht="14.25" customHeight="1">
      <c r="A733" s="40"/>
      <c r="B733" s="40"/>
      <c r="C733" s="15"/>
      <c r="D733" s="28"/>
      <c r="E733" s="15"/>
      <c r="F733" s="41"/>
    </row>
    <row r="734" spans="1:6" ht="14.25" customHeight="1">
      <c r="A734" s="40"/>
      <c r="B734" s="40"/>
      <c r="C734" s="15"/>
      <c r="D734" s="28"/>
      <c r="E734" s="15"/>
      <c r="F734" s="41"/>
    </row>
    <row r="735" spans="1:6" ht="14.25" customHeight="1">
      <c r="A735" s="40"/>
      <c r="B735" s="40"/>
      <c r="C735" s="15"/>
      <c r="D735" s="28"/>
      <c r="E735" s="15"/>
      <c r="F735" s="41"/>
    </row>
    <row r="736" spans="1:6" ht="14.25" customHeight="1">
      <c r="A736" s="40"/>
      <c r="B736" s="40"/>
      <c r="C736" s="15"/>
      <c r="D736" s="28"/>
      <c r="E736" s="15"/>
      <c r="F736" s="41"/>
    </row>
    <row r="737" spans="1:6" ht="14.25" customHeight="1">
      <c r="A737" s="40"/>
      <c r="B737" s="40"/>
      <c r="C737" s="15"/>
      <c r="D737" s="28"/>
      <c r="E737" s="15"/>
      <c r="F737" s="41"/>
    </row>
    <row r="738" spans="1:6" ht="14.25" customHeight="1">
      <c r="A738" s="40"/>
      <c r="B738" s="40"/>
      <c r="C738" s="15"/>
      <c r="D738" s="28"/>
      <c r="E738" s="15"/>
      <c r="F738" s="41"/>
    </row>
    <row r="739" spans="1:6" ht="14.25" customHeight="1">
      <c r="A739" s="40"/>
      <c r="B739" s="40"/>
      <c r="C739" s="15"/>
      <c r="D739" s="28"/>
      <c r="E739" s="15"/>
      <c r="F739" s="41"/>
    </row>
    <row r="740" spans="1:6" ht="14.25" customHeight="1">
      <c r="A740" s="40"/>
      <c r="B740" s="40"/>
      <c r="C740" s="15"/>
      <c r="D740" s="28"/>
      <c r="E740" s="15"/>
      <c r="F740" s="41"/>
    </row>
    <row r="741" spans="1:6" ht="14.25" customHeight="1">
      <c r="A741" s="40"/>
      <c r="B741" s="40"/>
      <c r="C741" s="15"/>
      <c r="D741" s="28"/>
      <c r="E741" s="15"/>
      <c r="F741" s="41"/>
    </row>
    <row r="742" spans="1:6" ht="14.25" customHeight="1">
      <c r="A742" s="40"/>
      <c r="B742" s="40"/>
      <c r="C742" s="15"/>
      <c r="D742" s="28"/>
      <c r="E742" s="15"/>
      <c r="F742" s="41"/>
    </row>
    <row r="743" spans="1:6" ht="14.25" customHeight="1">
      <c r="A743" s="40"/>
      <c r="B743" s="40"/>
      <c r="C743" s="15"/>
      <c r="D743" s="28"/>
      <c r="E743" s="15"/>
      <c r="F743" s="41"/>
    </row>
    <row r="744" spans="1:6" ht="14.25" customHeight="1">
      <c r="A744" s="40"/>
      <c r="B744" s="40"/>
      <c r="C744" s="15"/>
      <c r="D744" s="28"/>
      <c r="E744" s="15"/>
      <c r="F744" s="41"/>
    </row>
    <row r="745" spans="1:6" ht="14.25" customHeight="1">
      <c r="A745" s="40"/>
      <c r="B745" s="40"/>
      <c r="C745" s="15"/>
      <c r="D745" s="28"/>
      <c r="E745" s="15"/>
      <c r="F745" s="41"/>
    </row>
    <row r="746" spans="1:6" ht="14.25" customHeight="1">
      <c r="A746" s="40"/>
      <c r="B746" s="40"/>
      <c r="C746" s="15"/>
      <c r="D746" s="28"/>
      <c r="E746" s="15"/>
      <c r="F746" s="41"/>
    </row>
    <row r="747" spans="1:6" ht="14.25" customHeight="1">
      <c r="A747" s="40"/>
      <c r="B747" s="40"/>
      <c r="C747" s="15"/>
      <c r="D747" s="28"/>
      <c r="E747" s="15"/>
      <c r="F747" s="41"/>
    </row>
    <row r="748" spans="1:6" ht="14.25" customHeight="1">
      <c r="A748" s="40"/>
      <c r="B748" s="40"/>
      <c r="C748" s="15"/>
      <c r="D748" s="28"/>
      <c r="E748" s="15"/>
      <c r="F748" s="41"/>
    </row>
    <row r="749" spans="1:6" ht="14.25" customHeight="1">
      <c r="A749" s="40"/>
      <c r="B749" s="40"/>
      <c r="C749" s="15"/>
      <c r="D749" s="28"/>
      <c r="E749" s="15"/>
      <c r="F749" s="41"/>
    </row>
    <row r="750" spans="1:6" ht="14.25" customHeight="1">
      <c r="A750" s="40"/>
      <c r="B750" s="40"/>
      <c r="C750" s="15"/>
      <c r="D750" s="28"/>
      <c r="E750" s="15"/>
      <c r="F750" s="41"/>
    </row>
    <row r="751" spans="1:6" ht="14.25" customHeight="1">
      <c r="A751" s="40"/>
      <c r="B751" s="40"/>
      <c r="C751" s="15"/>
      <c r="D751" s="28"/>
      <c r="E751" s="15"/>
      <c r="F751" s="41"/>
    </row>
    <row r="752" spans="1:6" ht="14.25" customHeight="1">
      <c r="A752" s="40"/>
      <c r="B752" s="40"/>
      <c r="C752" s="15"/>
      <c r="D752" s="28"/>
      <c r="E752" s="15"/>
      <c r="F752" s="41"/>
    </row>
    <row r="753" spans="1:6" ht="14.25" customHeight="1">
      <c r="A753" s="40"/>
      <c r="B753" s="40"/>
      <c r="C753" s="15"/>
      <c r="D753" s="28"/>
      <c r="E753" s="15"/>
      <c r="F753" s="41"/>
    </row>
    <row r="754" spans="1:6" ht="14.25" customHeight="1">
      <c r="A754" s="40"/>
      <c r="B754" s="40"/>
      <c r="C754" s="15"/>
      <c r="D754" s="28"/>
      <c r="E754" s="15"/>
      <c r="F754" s="41"/>
    </row>
    <row r="755" spans="1:6" ht="14.25" customHeight="1">
      <c r="A755" s="40"/>
      <c r="B755" s="40"/>
      <c r="C755" s="15"/>
      <c r="D755" s="28"/>
      <c r="E755" s="15"/>
      <c r="F755" s="41"/>
    </row>
    <row r="756" spans="1:6" ht="14.25" customHeight="1">
      <c r="A756" s="40"/>
      <c r="B756" s="40"/>
      <c r="C756" s="15"/>
      <c r="D756" s="28"/>
      <c r="E756" s="15"/>
      <c r="F756" s="41"/>
    </row>
    <row r="757" spans="1:6" ht="14.25" customHeight="1">
      <c r="A757" s="40"/>
      <c r="B757" s="40"/>
      <c r="C757" s="15"/>
      <c r="D757" s="28"/>
      <c r="E757" s="15"/>
      <c r="F757" s="41"/>
    </row>
    <row r="758" spans="1:6" ht="14.25" customHeight="1">
      <c r="A758" s="40"/>
      <c r="B758" s="40"/>
      <c r="C758" s="15"/>
      <c r="D758" s="28"/>
      <c r="E758" s="15"/>
      <c r="F758" s="41"/>
    </row>
    <row r="759" spans="1:6" ht="14.25" customHeight="1">
      <c r="A759" s="40"/>
      <c r="B759" s="40"/>
      <c r="C759" s="15"/>
      <c r="D759" s="28"/>
      <c r="E759" s="15"/>
      <c r="F759" s="41"/>
    </row>
    <row r="760" spans="1:6" ht="14.25" customHeight="1">
      <c r="A760" s="40"/>
      <c r="B760" s="40"/>
      <c r="C760" s="15"/>
      <c r="D760" s="28"/>
      <c r="E760" s="15"/>
      <c r="F760" s="41"/>
    </row>
    <row r="761" spans="1:6" ht="14.25" customHeight="1">
      <c r="A761" s="40"/>
      <c r="B761" s="40"/>
      <c r="C761" s="15"/>
      <c r="D761" s="28"/>
      <c r="E761" s="15"/>
      <c r="F761" s="41"/>
    </row>
    <row r="762" spans="1:6" ht="14.25" customHeight="1">
      <c r="A762" s="40"/>
      <c r="B762" s="40"/>
      <c r="C762" s="15"/>
      <c r="D762" s="28"/>
      <c r="E762" s="15"/>
      <c r="F762" s="41"/>
    </row>
    <row r="763" spans="1:6" ht="14.25" customHeight="1">
      <c r="A763" s="40"/>
      <c r="B763" s="40"/>
      <c r="C763" s="15"/>
      <c r="D763" s="28"/>
      <c r="E763" s="15"/>
      <c r="F763" s="41"/>
    </row>
    <row r="764" spans="1:6" ht="14.25" customHeight="1">
      <c r="A764" s="40"/>
      <c r="B764" s="40"/>
      <c r="C764" s="15"/>
      <c r="D764" s="28"/>
      <c r="E764" s="15"/>
      <c r="F764" s="41"/>
    </row>
    <row r="765" spans="1:6" ht="14.25" customHeight="1">
      <c r="A765" s="40"/>
      <c r="B765" s="40"/>
      <c r="C765" s="15"/>
      <c r="D765" s="28"/>
      <c r="E765" s="15"/>
      <c r="F765" s="41"/>
    </row>
    <row r="766" spans="1:6" ht="14.25" customHeight="1">
      <c r="A766" s="40"/>
      <c r="B766" s="40"/>
      <c r="C766" s="15"/>
      <c r="D766" s="28"/>
      <c r="E766" s="15"/>
      <c r="F766" s="41"/>
    </row>
    <row r="767" spans="1:6" ht="14.25" customHeight="1">
      <c r="A767" s="40"/>
      <c r="B767" s="40"/>
      <c r="C767" s="15"/>
      <c r="D767" s="28"/>
      <c r="E767" s="15"/>
      <c r="F767" s="41"/>
    </row>
    <row r="768" spans="1:6" ht="14.25" customHeight="1">
      <c r="A768" s="40"/>
      <c r="B768" s="40"/>
      <c r="C768" s="15"/>
      <c r="D768" s="28"/>
      <c r="E768" s="15"/>
      <c r="F768" s="41"/>
    </row>
    <row r="769" spans="1:6" ht="14.25" customHeight="1">
      <c r="A769" s="40"/>
      <c r="B769" s="40"/>
      <c r="C769" s="15"/>
      <c r="D769" s="28"/>
      <c r="E769" s="15"/>
      <c r="F769" s="41"/>
    </row>
    <row r="770" spans="1:6" ht="14.25" customHeight="1">
      <c r="A770" s="40"/>
      <c r="B770" s="40"/>
      <c r="C770" s="15"/>
      <c r="D770" s="28"/>
      <c r="E770" s="15"/>
      <c r="F770" s="41"/>
    </row>
    <row r="771" spans="1:6" ht="14.25" customHeight="1">
      <c r="A771" s="40"/>
      <c r="B771" s="40"/>
      <c r="C771" s="15"/>
      <c r="D771" s="28"/>
      <c r="E771" s="15"/>
      <c r="F771" s="41"/>
    </row>
    <row r="772" spans="1:6" ht="14.25" customHeight="1">
      <c r="A772" s="40"/>
      <c r="B772" s="40"/>
      <c r="C772" s="15"/>
      <c r="D772" s="28"/>
      <c r="E772" s="15"/>
      <c r="F772" s="41"/>
    </row>
    <row r="773" spans="1:6" ht="14.25" customHeight="1">
      <c r="A773" s="40"/>
      <c r="B773" s="40"/>
      <c r="C773" s="15"/>
      <c r="D773" s="28"/>
      <c r="E773" s="15"/>
      <c r="F773" s="41"/>
    </row>
    <row r="774" spans="1:6" ht="14.25" customHeight="1">
      <c r="A774" s="40"/>
      <c r="B774" s="40"/>
      <c r="C774" s="15"/>
      <c r="D774" s="28"/>
      <c r="E774" s="15"/>
      <c r="F774" s="41"/>
    </row>
    <row r="775" spans="1:6" ht="14.25" customHeight="1">
      <c r="A775" s="40"/>
      <c r="B775" s="40"/>
      <c r="C775" s="15"/>
      <c r="D775" s="28"/>
      <c r="E775" s="15"/>
      <c r="F775" s="41"/>
    </row>
    <row r="776" spans="1:6" ht="14.25" customHeight="1">
      <c r="A776" s="40"/>
      <c r="B776" s="40"/>
      <c r="C776" s="15"/>
      <c r="D776" s="28"/>
      <c r="E776" s="15"/>
      <c r="F776" s="41"/>
    </row>
    <row r="777" spans="1:6" ht="14.25" customHeight="1">
      <c r="A777" s="40"/>
      <c r="B777" s="40"/>
      <c r="C777" s="15"/>
      <c r="D777" s="28"/>
      <c r="E777" s="15"/>
      <c r="F777" s="41"/>
    </row>
    <row r="778" spans="1:6" ht="14.25" customHeight="1">
      <c r="A778" s="40"/>
      <c r="B778" s="40"/>
      <c r="C778" s="15"/>
      <c r="D778" s="28"/>
      <c r="E778" s="15"/>
      <c r="F778" s="41"/>
    </row>
    <row r="779" spans="1:6" ht="14.25" customHeight="1">
      <c r="A779" s="40"/>
      <c r="B779" s="40"/>
      <c r="C779" s="15"/>
      <c r="D779" s="28"/>
      <c r="E779" s="15"/>
      <c r="F779" s="41"/>
    </row>
    <row r="780" spans="1:6" ht="14.25" customHeight="1">
      <c r="A780" s="40"/>
      <c r="B780" s="40"/>
      <c r="C780" s="15"/>
      <c r="D780" s="28"/>
      <c r="E780" s="15"/>
      <c r="F780" s="41"/>
    </row>
    <row r="781" spans="1:6" ht="14.25" customHeight="1">
      <c r="A781" s="40"/>
      <c r="B781" s="40"/>
      <c r="C781" s="15"/>
      <c r="D781" s="28"/>
      <c r="E781" s="15"/>
      <c r="F781" s="41"/>
    </row>
    <row r="782" spans="1:6" ht="14.25" customHeight="1">
      <c r="A782" s="40"/>
      <c r="B782" s="40"/>
      <c r="C782" s="15"/>
      <c r="D782" s="28"/>
      <c r="E782" s="15"/>
      <c r="F782" s="41"/>
    </row>
    <row r="783" spans="1:6" ht="14.25" customHeight="1">
      <c r="A783" s="40"/>
      <c r="B783" s="40"/>
      <c r="C783" s="15"/>
      <c r="D783" s="28"/>
      <c r="E783" s="15"/>
      <c r="F783" s="41"/>
    </row>
    <row r="784" spans="1:6" ht="14.25" customHeight="1">
      <c r="A784" s="40"/>
      <c r="B784" s="40"/>
      <c r="C784" s="15"/>
      <c r="D784" s="28"/>
      <c r="E784" s="15"/>
      <c r="F784" s="41"/>
    </row>
    <row r="785" spans="1:6" ht="14.25" customHeight="1">
      <c r="A785" s="40"/>
      <c r="B785" s="40"/>
      <c r="C785" s="15"/>
      <c r="D785" s="28"/>
      <c r="E785" s="15"/>
      <c r="F785" s="41"/>
    </row>
    <row r="786" spans="1:6" ht="14.25" customHeight="1">
      <c r="A786" s="40"/>
      <c r="B786" s="40"/>
      <c r="C786" s="15"/>
      <c r="D786" s="28"/>
      <c r="E786" s="15"/>
      <c r="F786" s="41"/>
    </row>
    <row r="787" spans="1:6" ht="14.25" customHeight="1">
      <c r="A787" s="40"/>
      <c r="B787" s="40"/>
      <c r="C787" s="15"/>
      <c r="D787" s="28"/>
      <c r="E787" s="15"/>
      <c r="F787" s="41"/>
    </row>
    <row r="788" spans="1:6" ht="14.25" customHeight="1">
      <c r="A788" s="40"/>
      <c r="B788" s="40"/>
      <c r="C788" s="15"/>
      <c r="D788" s="28"/>
      <c r="E788" s="15"/>
      <c r="F788" s="41"/>
    </row>
    <row r="789" spans="1:6" ht="14.25" customHeight="1">
      <c r="A789" s="40"/>
      <c r="B789" s="40"/>
      <c r="C789" s="15"/>
      <c r="D789" s="28"/>
      <c r="E789" s="15"/>
      <c r="F789" s="41"/>
    </row>
    <row r="790" spans="1:6" ht="14.25" customHeight="1">
      <c r="A790" s="40"/>
      <c r="B790" s="40"/>
      <c r="C790" s="15"/>
      <c r="D790" s="28"/>
      <c r="E790" s="15"/>
      <c r="F790" s="41"/>
    </row>
    <row r="791" spans="1:6" ht="14.25" customHeight="1">
      <c r="A791" s="40"/>
      <c r="B791" s="40"/>
      <c r="C791" s="15"/>
      <c r="D791" s="28"/>
      <c r="E791" s="15"/>
      <c r="F791" s="41"/>
    </row>
    <row r="792" spans="1:6" ht="14.25" customHeight="1">
      <c r="A792" s="40"/>
      <c r="B792" s="40"/>
      <c r="C792" s="15"/>
      <c r="D792" s="28"/>
      <c r="E792" s="15"/>
      <c r="F792" s="41"/>
    </row>
    <row r="793" spans="1:6" ht="14.25" customHeight="1">
      <c r="A793" s="40"/>
      <c r="B793" s="40"/>
      <c r="C793" s="15"/>
      <c r="D793" s="28"/>
      <c r="E793" s="15"/>
      <c r="F793" s="41"/>
    </row>
    <row r="794" spans="1:6" ht="14.25" customHeight="1">
      <c r="A794" s="40"/>
      <c r="B794" s="40"/>
      <c r="C794" s="15"/>
      <c r="D794" s="28"/>
      <c r="E794" s="15"/>
      <c r="F794" s="41"/>
    </row>
    <row r="795" spans="1:6" ht="14.25" customHeight="1">
      <c r="A795" s="40"/>
      <c r="B795" s="40"/>
      <c r="C795" s="15"/>
      <c r="D795" s="28"/>
      <c r="E795" s="15"/>
      <c r="F795" s="41"/>
    </row>
    <row r="796" spans="1:6" ht="14.25" customHeight="1">
      <c r="A796" s="40"/>
      <c r="B796" s="40"/>
      <c r="C796" s="15"/>
      <c r="D796" s="28"/>
      <c r="E796" s="15"/>
      <c r="F796" s="41"/>
    </row>
    <row r="797" spans="1:6" ht="14.25" customHeight="1">
      <c r="A797" s="40"/>
      <c r="B797" s="40"/>
      <c r="C797" s="15"/>
      <c r="D797" s="28"/>
      <c r="E797" s="15"/>
      <c r="F797" s="41"/>
    </row>
    <row r="798" spans="1:6" ht="14.25" customHeight="1">
      <c r="A798" s="40"/>
      <c r="B798" s="40"/>
      <c r="C798" s="15"/>
      <c r="D798" s="28"/>
      <c r="E798" s="15"/>
      <c r="F798" s="41"/>
    </row>
    <row r="799" spans="1:6" ht="14.25" customHeight="1">
      <c r="A799" s="40"/>
      <c r="B799" s="40"/>
      <c r="C799" s="15"/>
      <c r="D799" s="28"/>
      <c r="E799" s="15"/>
      <c r="F799" s="41"/>
    </row>
    <row r="800" spans="1:6" ht="14.25" customHeight="1">
      <c r="A800" s="40"/>
      <c r="B800" s="40"/>
      <c r="C800" s="15"/>
      <c r="D800" s="28"/>
      <c r="E800" s="15"/>
      <c r="F800" s="41"/>
    </row>
    <row r="801" spans="1:6" ht="14.25" customHeight="1">
      <c r="A801" s="40"/>
      <c r="B801" s="40"/>
      <c r="C801" s="15"/>
      <c r="D801" s="28"/>
      <c r="E801" s="15"/>
      <c r="F801" s="41"/>
    </row>
    <row r="802" spans="1:6" ht="14.25" customHeight="1">
      <c r="A802" s="40"/>
      <c r="B802" s="40"/>
      <c r="C802" s="15"/>
      <c r="D802" s="28"/>
      <c r="E802" s="15"/>
      <c r="F802" s="41"/>
    </row>
    <row r="803" spans="1:6" ht="14.25" customHeight="1">
      <c r="A803" s="40"/>
      <c r="B803" s="40"/>
      <c r="C803" s="15"/>
      <c r="D803" s="28"/>
      <c r="E803" s="15"/>
      <c r="F803" s="41"/>
    </row>
    <row r="804" spans="1:6" ht="14.25" customHeight="1">
      <c r="A804" s="40"/>
      <c r="B804" s="40"/>
      <c r="C804" s="15"/>
      <c r="D804" s="28"/>
      <c r="E804" s="15"/>
      <c r="F804" s="41"/>
    </row>
    <row r="805" spans="1:6" ht="14.25" customHeight="1">
      <c r="A805" s="40"/>
      <c r="B805" s="40"/>
      <c r="C805" s="15"/>
      <c r="D805" s="28"/>
      <c r="E805" s="15"/>
      <c r="F805" s="41"/>
    </row>
    <row r="806" spans="1:6" ht="14.25" customHeight="1">
      <c r="A806" s="40"/>
      <c r="B806" s="40"/>
      <c r="C806" s="15"/>
      <c r="D806" s="28"/>
      <c r="E806" s="15"/>
      <c r="F806" s="41"/>
    </row>
    <row r="807" spans="1:6" ht="14.25" customHeight="1">
      <c r="A807" s="40"/>
      <c r="B807" s="40"/>
      <c r="C807" s="15"/>
      <c r="D807" s="28"/>
      <c r="E807" s="15"/>
      <c r="F807" s="41"/>
    </row>
    <row r="808" spans="1:6" ht="14.25" customHeight="1">
      <c r="A808" s="40"/>
      <c r="B808" s="40"/>
      <c r="C808" s="15"/>
      <c r="D808" s="28"/>
      <c r="E808" s="15"/>
      <c r="F808" s="41"/>
    </row>
    <row r="809" spans="1:6" ht="14.25" customHeight="1">
      <c r="A809" s="40"/>
      <c r="B809" s="40"/>
      <c r="C809" s="15"/>
      <c r="D809" s="28"/>
      <c r="E809" s="15"/>
      <c r="F809" s="41"/>
    </row>
    <row r="810" spans="1:6" ht="14.25" customHeight="1">
      <c r="A810" s="40"/>
      <c r="B810" s="40"/>
      <c r="C810" s="15"/>
      <c r="D810" s="28"/>
      <c r="E810" s="15"/>
      <c r="F810" s="41"/>
    </row>
    <row r="811" spans="1:6" ht="14.25" customHeight="1">
      <c r="A811" s="40"/>
      <c r="B811" s="40"/>
      <c r="C811" s="15"/>
      <c r="D811" s="28"/>
      <c r="E811" s="15"/>
      <c r="F811" s="41"/>
    </row>
    <row r="812" spans="1:6" ht="14.25" customHeight="1">
      <c r="A812" s="40"/>
      <c r="B812" s="40"/>
      <c r="C812" s="15"/>
      <c r="D812" s="28"/>
      <c r="E812" s="15"/>
      <c r="F812" s="41"/>
    </row>
    <row r="813" spans="1:6" ht="14.25" customHeight="1">
      <c r="A813" s="40"/>
      <c r="B813" s="40"/>
      <c r="C813" s="15"/>
      <c r="D813" s="28"/>
      <c r="E813" s="15"/>
      <c r="F813" s="41"/>
    </row>
    <row r="814" spans="1:6" ht="14.25" customHeight="1">
      <c r="A814" s="40"/>
      <c r="B814" s="40"/>
      <c r="C814" s="15"/>
      <c r="D814" s="28"/>
      <c r="E814" s="15"/>
      <c r="F814" s="41"/>
    </row>
    <row r="815" spans="1:6" ht="14.25" customHeight="1">
      <c r="A815" s="40"/>
      <c r="B815" s="40"/>
      <c r="C815" s="15"/>
      <c r="D815" s="28"/>
      <c r="E815" s="15"/>
      <c r="F815" s="41"/>
    </row>
    <row r="816" spans="1:6" ht="14.25" customHeight="1">
      <c r="A816" s="40"/>
      <c r="B816" s="40"/>
      <c r="C816" s="15"/>
      <c r="D816" s="28"/>
      <c r="E816" s="15"/>
      <c r="F816" s="41"/>
    </row>
    <row r="817" spans="1:6" ht="14.25" customHeight="1">
      <c r="A817" s="40"/>
      <c r="B817" s="40"/>
      <c r="C817" s="15"/>
      <c r="D817" s="28"/>
      <c r="E817" s="15"/>
      <c r="F817" s="41"/>
    </row>
    <row r="818" spans="1:6" ht="14.25" customHeight="1">
      <c r="A818" s="40"/>
      <c r="B818" s="40"/>
      <c r="C818" s="15"/>
      <c r="D818" s="28"/>
      <c r="E818" s="15"/>
      <c r="F818" s="41"/>
    </row>
    <row r="819" spans="1:6" ht="14.25" customHeight="1">
      <c r="A819" s="40"/>
      <c r="B819" s="40"/>
      <c r="C819" s="15"/>
      <c r="D819" s="28"/>
      <c r="E819" s="15"/>
      <c r="F819" s="41"/>
    </row>
    <row r="820" spans="1:6" ht="14.25" customHeight="1">
      <c r="A820" s="40"/>
      <c r="B820" s="40"/>
      <c r="C820" s="15"/>
      <c r="D820" s="28"/>
      <c r="E820" s="15"/>
      <c r="F820" s="41"/>
    </row>
    <row r="821" spans="1:6" ht="14.25" customHeight="1">
      <c r="A821" s="40"/>
      <c r="B821" s="40"/>
      <c r="C821" s="15"/>
      <c r="D821" s="28"/>
      <c r="E821" s="15"/>
      <c r="F821" s="41"/>
    </row>
    <row r="822" spans="1:6" ht="14.25" customHeight="1">
      <c r="A822" s="40"/>
      <c r="B822" s="40"/>
      <c r="C822" s="15"/>
      <c r="D822" s="28"/>
      <c r="E822" s="15"/>
      <c r="F822" s="41"/>
    </row>
    <row r="823" spans="1:6" ht="14.25" customHeight="1">
      <c r="A823" s="40"/>
      <c r="B823" s="40"/>
      <c r="C823" s="15"/>
      <c r="D823" s="28"/>
      <c r="E823" s="15"/>
      <c r="F823" s="41"/>
    </row>
    <row r="824" spans="1:6" ht="14.25" customHeight="1">
      <c r="A824" s="40"/>
      <c r="B824" s="40"/>
      <c r="C824" s="15"/>
      <c r="D824" s="28"/>
      <c r="E824" s="15"/>
      <c r="F824" s="41"/>
    </row>
    <row r="825" spans="1:6" ht="14.25" customHeight="1">
      <c r="A825" s="40"/>
      <c r="B825" s="40"/>
      <c r="C825" s="15"/>
      <c r="D825" s="28"/>
      <c r="E825" s="15"/>
      <c r="F825" s="41"/>
    </row>
    <row r="826" spans="1:6" ht="14.25" customHeight="1">
      <c r="A826" s="40"/>
      <c r="B826" s="40"/>
      <c r="C826" s="15"/>
      <c r="D826" s="28"/>
      <c r="E826" s="15"/>
      <c r="F826" s="41"/>
    </row>
    <row r="827" spans="1:6" ht="14.25" customHeight="1">
      <c r="A827" s="40"/>
      <c r="B827" s="40"/>
      <c r="C827" s="15"/>
      <c r="D827" s="28"/>
      <c r="E827" s="15"/>
      <c r="F827" s="41"/>
    </row>
    <row r="828" spans="1:6" ht="14.25" customHeight="1">
      <c r="A828" s="40"/>
      <c r="B828" s="40"/>
      <c r="C828" s="15"/>
      <c r="D828" s="28"/>
      <c r="E828" s="15"/>
      <c r="F828" s="41"/>
    </row>
    <row r="829" spans="1:6" ht="14.25" customHeight="1">
      <c r="A829" s="40"/>
      <c r="B829" s="40"/>
      <c r="C829" s="15"/>
      <c r="D829" s="28"/>
      <c r="E829" s="15"/>
      <c r="F829" s="41"/>
    </row>
    <row r="830" spans="1:6" ht="14.25" customHeight="1">
      <c r="A830" s="40"/>
      <c r="B830" s="40"/>
      <c r="C830" s="15"/>
      <c r="D830" s="28"/>
      <c r="E830" s="15"/>
      <c r="F830" s="41"/>
    </row>
    <row r="831" spans="1:6" ht="14.25" customHeight="1">
      <c r="A831" s="40"/>
      <c r="B831" s="40"/>
      <c r="C831" s="15"/>
      <c r="D831" s="28"/>
      <c r="E831" s="15"/>
      <c r="F831" s="41"/>
    </row>
    <row r="832" spans="1:6" ht="14.25" customHeight="1">
      <c r="A832" s="40"/>
      <c r="B832" s="40"/>
      <c r="C832" s="15"/>
      <c r="D832" s="28"/>
      <c r="E832" s="15"/>
      <c r="F832" s="41"/>
    </row>
    <row r="833" spans="1:6" ht="14.25" customHeight="1">
      <c r="A833" s="40"/>
      <c r="B833" s="40"/>
      <c r="C833" s="15"/>
      <c r="D833" s="28"/>
      <c r="E833" s="15"/>
      <c r="F833" s="41"/>
    </row>
    <row r="834" spans="1:6" ht="14.25" customHeight="1">
      <c r="A834" s="40"/>
      <c r="B834" s="40"/>
      <c r="C834" s="15"/>
      <c r="D834" s="28"/>
      <c r="E834" s="15"/>
      <c r="F834" s="41"/>
    </row>
    <row r="835" spans="1:6" ht="14.25" customHeight="1">
      <c r="A835" s="40"/>
      <c r="B835" s="40"/>
      <c r="C835" s="15"/>
      <c r="D835" s="28"/>
      <c r="E835" s="15"/>
      <c r="F835" s="41"/>
    </row>
    <row r="836" spans="1:6" ht="14.25" customHeight="1">
      <c r="A836" s="40"/>
      <c r="B836" s="40"/>
      <c r="C836" s="15"/>
      <c r="D836" s="28"/>
      <c r="E836" s="15"/>
      <c r="F836" s="41"/>
    </row>
    <row r="837" spans="1:6" ht="14.25" customHeight="1">
      <c r="A837" s="40"/>
      <c r="B837" s="40"/>
      <c r="C837" s="15"/>
      <c r="D837" s="28"/>
      <c r="E837" s="15"/>
      <c r="F837" s="41"/>
    </row>
    <row r="838" spans="1:6" ht="14.25" customHeight="1">
      <c r="A838" s="40"/>
      <c r="B838" s="40"/>
      <c r="C838" s="15"/>
      <c r="D838" s="28"/>
      <c r="E838" s="15"/>
      <c r="F838" s="41"/>
    </row>
    <row r="839" spans="1:6" ht="14.25" customHeight="1">
      <c r="A839" s="40"/>
      <c r="B839" s="40"/>
      <c r="C839" s="15"/>
      <c r="D839" s="28"/>
      <c r="E839" s="15"/>
      <c r="F839" s="41"/>
    </row>
    <row r="840" spans="1:6" ht="14.25" customHeight="1">
      <c r="A840" s="40"/>
      <c r="B840" s="40"/>
      <c r="C840" s="15"/>
      <c r="D840" s="28"/>
      <c r="E840" s="15"/>
      <c r="F840" s="41"/>
    </row>
    <row r="841" spans="1:6" ht="14.25" customHeight="1">
      <c r="A841" s="40"/>
      <c r="B841" s="40"/>
      <c r="C841" s="15"/>
      <c r="D841" s="28"/>
      <c r="E841" s="15"/>
      <c r="F841" s="41"/>
    </row>
    <row r="842" spans="1:6" ht="14.25" customHeight="1">
      <c r="A842" s="40"/>
      <c r="B842" s="40"/>
      <c r="C842" s="15"/>
      <c r="D842" s="28"/>
      <c r="E842" s="15"/>
      <c r="F842" s="41"/>
    </row>
    <row r="843" spans="1:6" ht="14.25" customHeight="1">
      <c r="A843" s="40"/>
      <c r="B843" s="40"/>
      <c r="C843" s="15"/>
      <c r="D843" s="28"/>
      <c r="E843" s="15"/>
      <c r="F843" s="41"/>
    </row>
    <row r="844" spans="1:6" ht="14.25" customHeight="1">
      <c r="A844" s="40"/>
      <c r="B844" s="40"/>
      <c r="C844" s="15"/>
      <c r="D844" s="28"/>
      <c r="E844" s="15"/>
      <c r="F844" s="41"/>
    </row>
    <row r="845" spans="1:6" ht="14.25" customHeight="1">
      <c r="A845" s="40"/>
      <c r="B845" s="40"/>
      <c r="C845" s="15"/>
      <c r="D845" s="28"/>
      <c r="E845" s="15"/>
      <c r="F845" s="41"/>
    </row>
    <row r="846" spans="1:6" ht="14.25" customHeight="1">
      <c r="A846" s="40"/>
      <c r="B846" s="40"/>
      <c r="C846" s="15"/>
      <c r="D846" s="28"/>
      <c r="E846" s="15"/>
      <c r="F846" s="41"/>
    </row>
    <row r="847" spans="1:6" ht="14.25" customHeight="1">
      <c r="A847" s="40"/>
      <c r="B847" s="40"/>
      <c r="C847" s="15"/>
      <c r="D847" s="28"/>
      <c r="E847" s="15"/>
      <c r="F847" s="41"/>
    </row>
    <row r="848" spans="1:6" ht="14.25" customHeight="1">
      <c r="A848" s="40"/>
      <c r="B848" s="40"/>
      <c r="C848" s="15"/>
      <c r="D848" s="28"/>
      <c r="E848" s="15"/>
      <c r="F848" s="41"/>
    </row>
    <row r="849" spans="1:6" ht="14.25" customHeight="1">
      <c r="A849" s="40"/>
      <c r="B849" s="40"/>
      <c r="C849" s="15"/>
      <c r="D849" s="28"/>
      <c r="E849" s="15"/>
      <c r="F849" s="41"/>
    </row>
    <row r="850" spans="1:6" ht="14.25" customHeight="1">
      <c r="A850" s="40"/>
      <c r="B850" s="40"/>
      <c r="C850" s="15"/>
      <c r="D850" s="28"/>
      <c r="E850" s="15"/>
      <c r="F850" s="41"/>
    </row>
    <row r="851" spans="1:6" ht="14.25" customHeight="1">
      <c r="A851" s="40"/>
      <c r="B851" s="40"/>
      <c r="C851" s="15"/>
      <c r="D851" s="28"/>
      <c r="E851" s="15"/>
      <c r="F851" s="41"/>
    </row>
    <row r="852" spans="1:6" ht="14.25" customHeight="1">
      <c r="A852" s="40"/>
      <c r="B852" s="40"/>
      <c r="C852" s="15"/>
      <c r="D852" s="28"/>
      <c r="E852" s="15"/>
      <c r="F852" s="41"/>
    </row>
    <row r="853" spans="1:6" ht="14.25" customHeight="1">
      <c r="A853" s="40"/>
      <c r="B853" s="40"/>
      <c r="C853" s="15"/>
      <c r="D853" s="28"/>
      <c r="E853" s="15"/>
      <c r="F853" s="41"/>
    </row>
    <row r="854" spans="1:6" ht="14.25" customHeight="1">
      <c r="A854" s="40"/>
      <c r="B854" s="40"/>
      <c r="C854" s="15"/>
      <c r="D854" s="28"/>
      <c r="E854" s="15"/>
      <c r="F854" s="41"/>
    </row>
    <row r="855" spans="1:6" ht="14.25" customHeight="1">
      <c r="A855" s="40"/>
      <c r="B855" s="40"/>
      <c r="C855" s="15"/>
      <c r="D855" s="28"/>
      <c r="E855" s="15"/>
      <c r="F855" s="41"/>
    </row>
    <row r="856" spans="1:6" ht="14.25" customHeight="1">
      <c r="A856" s="40"/>
      <c r="B856" s="40"/>
      <c r="C856" s="15"/>
      <c r="D856" s="28"/>
      <c r="E856" s="15"/>
      <c r="F856" s="41"/>
    </row>
    <row r="857" spans="1:6" ht="14.25" customHeight="1">
      <c r="A857" s="40"/>
      <c r="B857" s="40"/>
      <c r="C857" s="15"/>
      <c r="D857" s="28"/>
      <c r="E857" s="15"/>
      <c r="F857" s="41"/>
    </row>
    <row r="858" spans="1:6" ht="14.25" customHeight="1">
      <c r="A858" s="40"/>
      <c r="B858" s="40"/>
      <c r="C858" s="15"/>
      <c r="D858" s="28"/>
      <c r="E858" s="15"/>
      <c r="F858" s="41"/>
    </row>
    <row r="859" spans="1:6" ht="14.25" customHeight="1">
      <c r="A859" s="40"/>
      <c r="B859" s="40"/>
      <c r="C859" s="15"/>
      <c r="D859" s="28"/>
      <c r="E859" s="15"/>
      <c r="F859" s="41"/>
    </row>
    <row r="860" spans="1:6" ht="14.25" customHeight="1">
      <c r="A860" s="40"/>
      <c r="B860" s="40"/>
      <c r="C860" s="15"/>
      <c r="D860" s="28"/>
      <c r="E860" s="15"/>
      <c r="F860" s="41"/>
    </row>
    <row r="861" spans="1:6" ht="14.25" customHeight="1">
      <c r="A861" s="40"/>
      <c r="B861" s="40"/>
      <c r="C861" s="15"/>
      <c r="D861" s="28"/>
      <c r="E861" s="15"/>
      <c r="F861" s="41"/>
    </row>
    <row r="862" spans="1:6" ht="14.25" customHeight="1">
      <c r="A862" s="40"/>
      <c r="B862" s="40"/>
      <c r="C862" s="15"/>
      <c r="D862" s="28"/>
      <c r="E862" s="15"/>
      <c r="F862" s="41"/>
    </row>
    <row r="863" spans="1:6" ht="14.25" customHeight="1">
      <c r="A863" s="40"/>
      <c r="B863" s="40"/>
      <c r="C863" s="15"/>
      <c r="D863" s="28"/>
      <c r="E863" s="15"/>
      <c r="F863" s="41"/>
    </row>
    <row r="864" spans="1:6" ht="14.25" customHeight="1">
      <c r="A864" s="40"/>
      <c r="B864" s="40"/>
      <c r="C864" s="15"/>
      <c r="D864" s="28"/>
      <c r="E864" s="15"/>
      <c r="F864" s="41"/>
    </row>
    <row r="865" spans="1:6" ht="14.25" customHeight="1">
      <c r="A865" s="40"/>
      <c r="B865" s="40"/>
      <c r="C865" s="15"/>
      <c r="D865" s="28"/>
      <c r="E865" s="15"/>
      <c r="F865" s="41"/>
    </row>
    <row r="866" spans="1:6" ht="14.25" customHeight="1">
      <c r="A866" s="40"/>
      <c r="B866" s="40"/>
      <c r="C866" s="15"/>
      <c r="D866" s="28"/>
      <c r="E866" s="15"/>
      <c r="F866" s="41"/>
    </row>
    <row r="867" spans="1:6" ht="14.25" customHeight="1">
      <c r="A867" s="40"/>
      <c r="B867" s="40"/>
      <c r="C867" s="15"/>
      <c r="D867" s="28"/>
      <c r="E867" s="15"/>
      <c r="F867" s="41"/>
    </row>
    <row r="868" spans="1:6" ht="14.25" customHeight="1">
      <c r="A868" s="40"/>
      <c r="B868" s="40"/>
      <c r="C868" s="15"/>
      <c r="D868" s="28"/>
      <c r="E868" s="15"/>
      <c r="F868" s="41"/>
    </row>
    <row r="869" spans="1:6" ht="14.25" customHeight="1">
      <c r="A869" s="40"/>
      <c r="B869" s="40"/>
      <c r="C869" s="15"/>
      <c r="D869" s="28"/>
      <c r="E869" s="15"/>
      <c r="F869" s="41"/>
    </row>
    <row r="870" spans="1:6" ht="14.25" customHeight="1">
      <c r="A870" s="40"/>
      <c r="B870" s="40"/>
      <c r="C870" s="15"/>
      <c r="D870" s="28"/>
      <c r="E870" s="15"/>
      <c r="F870" s="41"/>
    </row>
    <row r="871" spans="1:6" ht="14.25" customHeight="1">
      <c r="A871" s="40"/>
      <c r="B871" s="40"/>
      <c r="C871" s="15"/>
      <c r="D871" s="28"/>
      <c r="E871" s="15"/>
      <c r="F871" s="41"/>
    </row>
    <row r="872" spans="1:6" ht="14.25" customHeight="1">
      <c r="A872" s="40"/>
      <c r="B872" s="40"/>
      <c r="C872" s="15"/>
      <c r="D872" s="28"/>
      <c r="E872" s="15"/>
      <c r="F872" s="41"/>
    </row>
    <row r="873" spans="1:6" ht="14.25" customHeight="1">
      <c r="A873" s="40"/>
      <c r="B873" s="40"/>
      <c r="C873" s="15"/>
      <c r="D873" s="28"/>
      <c r="E873" s="15"/>
      <c r="F873" s="41"/>
    </row>
    <row r="874" spans="1:6" ht="14.25" customHeight="1">
      <c r="A874" s="40"/>
      <c r="B874" s="40"/>
      <c r="C874" s="15"/>
      <c r="D874" s="28"/>
      <c r="E874" s="15"/>
      <c r="F874" s="41"/>
    </row>
    <row r="875" spans="1:6" ht="14.25" customHeight="1">
      <c r="A875" s="40"/>
      <c r="B875" s="40"/>
      <c r="C875" s="15"/>
      <c r="D875" s="28"/>
      <c r="E875" s="15"/>
      <c r="F875" s="41"/>
    </row>
    <row r="876" spans="1:6" ht="14.25" customHeight="1">
      <c r="A876" s="40"/>
      <c r="B876" s="40"/>
      <c r="C876" s="15"/>
      <c r="D876" s="28"/>
      <c r="E876" s="15"/>
      <c r="F876" s="41"/>
    </row>
    <row r="877" spans="1:6" ht="14.25" customHeight="1">
      <c r="A877" s="40"/>
      <c r="B877" s="40"/>
      <c r="C877" s="15"/>
      <c r="D877" s="28"/>
      <c r="E877" s="15"/>
      <c r="F877" s="41"/>
    </row>
    <row r="878" spans="1:6" ht="14.25" customHeight="1">
      <c r="A878" s="40"/>
      <c r="B878" s="40"/>
      <c r="C878" s="15"/>
      <c r="D878" s="28"/>
      <c r="E878" s="15"/>
      <c r="F878" s="41"/>
    </row>
    <row r="879" spans="1:6" ht="14.25" customHeight="1">
      <c r="A879" s="40"/>
      <c r="B879" s="40"/>
      <c r="C879" s="15"/>
      <c r="D879" s="28"/>
      <c r="E879" s="15"/>
      <c r="F879" s="41"/>
    </row>
    <row r="880" spans="1:6" ht="14.25" customHeight="1">
      <c r="A880" s="40"/>
      <c r="B880" s="40"/>
      <c r="C880" s="15"/>
      <c r="D880" s="28"/>
      <c r="E880" s="15"/>
      <c r="F880" s="41"/>
    </row>
    <row r="881" spans="1:6" ht="14.25" customHeight="1">
      <c r="A881" s="40"/>
      <c r="B881" s="40"/>
      <c r="C881" s="15"/>
      <c r="D881" s="28"/>
      <c r="E881" s="15"/>
      <c r="F881" s="41"/>
    </row>
    <row r="882" spans="1:6" ht="14.25" customHeight="1">
      <c r="A882" s="40"/>
      <c r="B882" s="40"/>
      <c r="C882" s="15"/>
      <c r="D882" s="28"/>
      <c r="E882" s="15"/>
      <c r="F882" s="41"/>
    </row>
    <row r="883" spans="1:6" ht="14.25" customHeight="1">
      <c r="A883" s="40"/>
      <c r="B883" s="40"/>
      <c r="C883" s="15"/>
      <c r="D883" s="28"/>
      <c r="E883" s="15"/>
      <c r="F883" s="41"/>
    </row>
    <row r="884" spans="1:6" ht="14.25" customHeight="1">
      <c r="A884" s="40"/>
      <c r="B884" s="40"/>
      <c r="C884" s="15"/>
      <c r="D884" s="28"/>
      <c r="E884" s="15"/>
      <c r="F884" s="41"/>
    </row>
    <row r="885" spans="1:6" ht="14.25" customHeight="1">
      <c r="A885" s="40"/>
      <c r="B885" s="40"/>
      <c r="C885" s="15"/>
      <c r="D885" s="28"/>
      <c r="E885" s="15"/>
      <c r="F885" s="41"/>
    </row>
    <row r="886" spans="1:6" ht="14.25" customHeight="1">
      <c r="A886" s="40"/>
      <c r="B886" s="40"/>
      <c r="C886" s="15"/>
      <c r="D886" s="28"/>
      <c r="E886" s="15"/>
      <c r="F886" s="41"/>
    </row>
    <row r="887" spans="1:6" ht="14.25" customHeight="1">
      <c r="A887" s="40"/>
      <c r="B887" s="40"/>
      <c r="C887" s="15"/>
      <c r="D887" s="28"/>
      <c r="E887" s="15"/>
      <c r="F887" s="41"/>
    </row>
    <row r="888" spans="1:6" ht="14.25" customHeight="1">
      <c r="A888" s="40"/>
      <c r="B888" s="40"/>
      <c r="C888" s="15"/>
      <c r="D888" s="28"/>
      <c r="E888" s="15"/>
      <c r="F888" s="41"/>
    </row>
    <row r="889" spans="1:6" ht="14.25" customHeight="1">
      <c r="A889" s="40"/>
      <c r="B889" s="40"/>
      <c r="C889" s="15"/>
      <c r="D889" s="28"/>
      <c r="E889" s="15"/>
      <c r="F889" s="41"/>
    </row>
    <row r="890" spans="1:6" ht="14.25" customHeight="1">
      <c r="A890" s="40"/>
      <c r="B890" s="40"/>
      <c r="C890" s="15"/>
      <c r="D890" s="28"/>
      <c r="E890" s="15"/>
      <c r="F890" s="41"/>
    </row>
    <row r="891" spans="1:6" ht="14.25" customHeight="1">
      <c r="A891" s="40"/>
      <c r="B891" s="40"/>
      <c r="C891" s="15"/>
      <c r="D891" s="28"/>
      <c r="E891" s="15"/>
      <c r="F891" s="41"/>
    </row>
    <row r="892" spans="1:6" ht="14.25" customHeight="1">
      <c r="A892" s="40"/>
      <c r="B892" s="40"/>
      <c r="C892" s="15"/>
      <c r="D892" s="28"/>
      <c r="E892" s="15"/>
      <c r="F892" s="41"/>
    </row>
    <row r="893" spans="1:6" ht="14.25" customHeight="1">
      <c r="A893" s="40"/>
      <c r="B893" s="40"/>
      <c r="C893" s="15"/>
      <c r="D893" s="28"/>
      <c r="E893" s="15"/>
      <c r="F893" s="41"/>
    </row>
    <row r="894" spans="1:6" ht="14.25" customHeight="1">
      <c r="A894" s="40"/>
      <c r="B894" s="40"/>
      <c r="C894" s="15"/>
      <c r="D894" s="28"/>
      <c r="E894" s="15"/>
      <c r="F894" s="41"/>
    </row>
    <row r="895" spans="1:6" ht="14.25" customHeight="1">
      <c r="A895" s="40"/>
      <c r="B895" s="40"/>
      <c r="C895" s="15"/>
      <c r="D895" s="28"/>
      <c r="E895" s="15"/>
      <c r="F895" s="41"/>
    </row>
    <row r="896" spans="1:6" ht="14.25" customHeight="1">
      <c r="A896" s="40"/>
      <c r="B896" s="40"/>
      <c r="C896" s="15"/>
      <c r="D896" s="28"/>
      <c r="E896" s="15"/>
      <c r="F896" s="41"/>
    </row>
    <row r="897" spans="1:6" ht="14.25" customHeight="1">
      <c r="A897" s="40"/>
      <c r="B897" s="40"/>
      <c r="C897" s="15"/>
      <c r="D897" s="28"/>
      <c r="E897" s="15"/>
      <c r="F897" s="41"/>
    </row>
    <row r="898" spans="1:6" ht="14.25" customHeight="1">
      <c r="A898" s="40"/>
      <c r="B898" s="40"/>
      <c r="C898" s="15"/>
      <c r="D898" s="28"/>
      <c r="E898" s="15"/>
      <c r="F898" s="41"/>
    </row>
    <row r="899" spans="1:6" ht="14.25" customHeight="1">
      <c r="A899" s="40"/>
      <c r="B899" s="40"/>
      <c r="C899" s="15"/>
      <c r="D899" s="28"/>
      <c r="E899" s="15"/>
      <c r="F899" s="41"/>
    </row>
    <row r="900" spans="1:6" ht="14.25" customHeight="1">
      <c r="A900" s="40"/>
      <c r="B900" s="40"/>
      <c r="C900" s="15"/>
      <c r="D900" s="28"/>
      <c r="E900" s="15"/>
      <c r="F900" s="41"/>
    </row>
    <row r="901" spans="1:6" ht="14.25" customHeight="1">
      <c r="A901" s="40"/>
      <c r="B901" s="40"/>
      <c r="C901" s="15"/>
      <c r="D901" s="28"/>
      <c r="E901" s="15"/>
      <c r="F901" s="41"/>
    </row>
    <row r="902" spans="1:6" ht="14.25" customHeight="1">
      <c r="A902" s="40"/>
      <c r="B902" s="40"/>
      <c r="C902" s="15"/>
      <c r="D902" s="28"/>
      <c r="E902" s="15"/>
      <c r="F902" s="41"/>
    </row>
    <row r="903" spans="1:6" ht="14.25" customHeight="1">
      <c r="A903" s="40"/>
      <c r="B903" s="40"/>
      <c r="C903" s="15"/>
      <c r="D903" s="28"/>
      <c r="E903" s="15"/>
      <c r="F903" s="41"/>
    </row>
    <row r="904" spans="1:6" ht="14.25" customHeight="1">
      <c r="A904" s="40"/>
      <c r="B904" s="40"/>
      <c r="C904" s="15"/>
      <c r="D904" s="28"/>
      <c r="E904" s="15"/>
      <c r="F904" s="41"/>
    </row>
    <row r="905" spans="1:6" ht="14.25" customHeight="1">
      <c r="A905" s="40"/>
      <c r="B905" s="40"/>
      <c r="C905" s="15"/>
      <c r="D905" s="28"/>
      <c r="E905" s="15"/>
      <c r="F905" s="41"/>
    </row>
    <row r="906" spans="1:6" ht="14.25" customHeight="1">
      <c r="A906" s="40"/>
      <c r="B906" s="40"/>
      <c r="C906" s="15"/>
      <c r="D906" s="28"/>
      <c r="E906" s="15"/>
      <c r="F906" s="41"/>
    </row>
    <row r="907" spans="1:6" ht="14.25" customHeight="1">
      <c r="A907" s="40"/>
      <c r="B907" s="40"/>
      <c r="C907" s="15"/>
      <c r="D907" s="28"/>
      <c r="E907" s="15"/>
      <c r="F907" s="41"/>
    </row>
    <row r="908" spans="1:6" ht="14.25" customHeight="1">
      <c r="A908" s="40"/>
      <c r="B908" s="40"/>
      <c r="C908" s="15"/>
      <c r="D908" s="28"/>
      <c r="E908" s="15"/>
      <c r="F908" s="41"/>
    </row>
    <row r="909" spans="1:6" ht="14.25" customHeight="1">
      <c r="A909" s="40"/>
      <c r="B909" s="40"/>
      <c r="C909" s="15"/>
      <c r="D909" s="28"/>
      <c r="E909" s="15"/>
      <c r="F909" s="41"/>
    </row>
    <row r="910" spans="1:6" ht="14.25" customHeight="1">
      <c r="A910" s="40"/>
      <c r="B910" s="40"/>
      <c r="C910" s="15"/>
      <c r="D910" s="28"/>
      <c r="E910" s="15"/>
      <c r="F910" s="41"/>
    </row>
    <row r="911" spans="1:6" ht="14.25" customHeight="1">
      <c r="A911" s="40"/>
      <c r="B911" s="40"/>
      <c r="C911" s="15"/>
      <c r="D911" s="28"/>
      <c r="E911" s="15"/>
      <c r="F911" s="41"/>
    </row>
    <row r="912" spans="1:6" ht="14.25" customHeight="1">
      <c r="A912" s="40"/>
      <c r="B912" s="40"/>
      <c r="C912" s="15"/>
      <c r="D912" s="28"/>
      <c r="E912" s="15"/>
      <c r="F912" s="41"/>
    </row>
    <row r="913" spans="1:6" ht="14.25" customHeight="1">
      <c r="A913" s="40"/>
      <c r="B913" s="40"/>
      <c r="C913" s="15"/>
      <c r="D913" s="28"/>
      <c r="E913" s="15"/>
      <c r="F913" s="41"/>
    </row>
    <row r="914" spans="1:6" ht="14.25" customHeight="1">
      <c r="A914" s="40"/>
      <c r="B914" s="40"/>
      <c r="C914" s="15"/>
      <c r="D914" s="28"/>
      <c r="E914" s="15"/>
      <c r="F914" s="41"/>
    </row>
    <row r="915" spans="1:6" ht="14.25" customHeight="1">
      <c r="A915" s="40"/>
      <c r="B915" s="40"/>
      <c r="C915" s="15"/>
      <c r="D915" s="28"/>
      <c r="E915" s="15"/>
      <c r="F915" s="41"/>
    </row>
    <row r="916" spans="1:6" ht="14.25" customHeight="1">
      <c r="A916" s="40"/>
      <c r="B916" s="40"/>
      <c r="C916" s="15"/>
      <c r="D916" s="28"/>
      <c r="E916" s="15"/>
      <c r="F916" s="41"/>
    </row>
    <row r="917" spans="1:6" ht="14.25" customHeight="1">
      <c r="A917" s="40"/>
      <c r="B917" s="40"/>
      <c r="C917" s="15"/>
      <c r="D917" s="28"/>
      <c r="E917" s="15"/>
      <c r="F917" s="41"/>
    </row>
    <row r="918" spans="1:6" ht="14.25" customHeight="1">
      <c r="A918" s="40"/>
      <c r="B918" s="40"/>
      <c r="C918" s="15"/>
      <c r="D918" s="28"/>
      <c r="E918" s="15"/>
      <c r="F918" s="41"/>
    </row>
    <row r="919" spans="1:6" ht="14.25" customHeight="1">
      <c r="A919" s="40"/>
      <c r="B919" s="40"/>
      <c r="C919" s="15"/>
      <c r="D919" s="28"/>
      <c r="E919" s="15"/>
      <c r="F919" s="41"/>
    </row>
    <row r="920" spans="1:6" ht="14.25" customHeight="1">
      <c r="A920" s="40"/>
      <c r="B920" s="40"/>
      <c r="C920" s="15"/>
      <c r="D920" s="28"/>
      <c r="E920" s="15"/>
      <c r="F920" s="41"/>
    </row>
    <row r="921" spans="1:6" ht="14.25" customHeight="1">
      <c r="A921" s="40"/>
      <c r="B921" s="40"/>
      <c r="C921" s="15"/>
      <c r="D921" s="28"/>
      <c r="E921" s="15"/>
      <c r="F921" s="41"/>
    </row>
    <row r="922" spans="1:6" ht="14.25" customHeight="1">
      <c r="A922" s="40"/>
      <c r="B922" s="40"/>
      <c r="C922" s="15"/>
      <c r="D922" s="28"/>
      <c r="E922" s="15"/>
      <c r="F922" s="41"/>
    </row>
    <row r="923" spans="1:6" ht="14.25" customHeight="1">
      <c r="A923" s="40"/>
      <c r="B923" s="40"/>
      <c r="C923" s="15"/>
      <c r="D923" s="28"/>
      <c r="E923" s="15"/>
      <c r="F923" s="41"/>
    </row>
    <row r="924" spans="1:6" ht="14.25" customHeight="1">
      <c r="A924" s="40"/>
      <c r="B924" s="40"/>
      <c r="C924" s="15"/>
      <c r="D924" s="28"/>
      <c r="E924" s="15"/>
      <c r="F924" s="41"/>
    </row>
    <row r="925" spans="1:6" ht="14.25" customHeight="1">
      <c r="A925" s="40"/>
      <c r="B925" s="40"/>
      <c r="C925" s="15"/>
      <c r="D925" s="28"/>
      <c r="E925" s="15"/>
      <c r="F925" s="41"/>
    </row>
    <row r="926" spans="1:6" ht="14.25" customHeight="1">
      <c r="A926" s="40"/>
      <c r="B926" s="40"/>
      <c r="C926" s="15"/>
      <c r="D926" s="28"/>
      <c r="E926" s="15"/>
      <c r="F926" s="41"/>
    </row>
    <row r="927" spans="1:6" ht="14.25" customHeight="1">
      <c r="A927" s="40"/>
      <c r="B927" s="40"/>
      <c r="C927" s="15"/>
      <c r="D927" s="28"/>
      <c r="E927" s="15"/>
      <c r="F927" s="41"/>
    </row>
    <row r="928" spans="1:6" ht="14.25" customHeight="1">
      <c r="A928" s="40"/>
      <c r="B928" s="40"/>
      <c r="C928" s="15"/>
      <c r="D928" s="28"/>
      <c r="E928" s="15"/>
      <c r="F928" s="41"/>
    </row>
    <row r="929" spans="1:6" ht="14.25" customHeight="1">
      <c r="A929" s="40"/>
      <c r="B929" s="40"/>
      <c r="C929" s="15"/>
      <c r="D929" s="28"/>
      <c r="E929" s="15"/>
      <c r="F929" s="41"/>
    </row>
    <row r="930" spans="1:6" ht="14.25" customHeight="1">
      <c r="A930" s="40"/>
      <c r="B930" s="40"/>
      <c r="C930" s="15"/>
      <c r="D930" s="28"/>
      <c r="E930" s="15"/>
      <c r="F930" s="41"/>
    </row>
    <row r="931" spans="1:6" ht="14.25" customHeight="1">
      <c r="A931" s="40"/>
      <c r="B931" s="40"/>
      <c r="C931" s="15"/>
      <c r="D931" s="28"/>
      <c r="E931" s="15"/>
      <c r="F931" s="41"/>
    </row>
    <row r="932" spans="1:6" ht="14.25" customHeight="1">
      <c r="A932" s="40"/>
      <c r="B932" s="40"/>
      <c r="C932" s="15"/>
      <c r="D932" s="28"/>
      <c r="E932" s="15"/>
      <c r="F932" s="41"/>
    </row>
    <row r="933" spans="1:6" ht="14.25" customHeight="1">
      <c r="A933" s="40"/>
      <c r="B933" s="40"/>
      <c r="C933" s="15"/>
      <c r="D933" s="28"/>
      <c r="E933" s="15"/>
      <c r="F933" s="41"/>
    </row>
    <row r="934" spans="1:6" ht="14.25" customHeight="1">
      <c r="A934" s="40"/>
      <c r="B934" s="40"/>
      <c r="C934" s="15"/>
      <c r="D934" s="28"/>
      <c r="E934" s="15"/>
      <c r="F934" s="41"/>
    </row>
    <row r="935" spans="1:6" ht="14.25" customHeight="1">
      <c r="A935" s="40"/>
      <c r="B935" s="40"/>
      <c r="C935" s="15"/>
      <c r="D935" s="28"/>
      <c r="E935" s="15"/>
      <c r="F935" s="41"/>
    </row>
    <row r="936" spans="1:6" ht="14.25" customHeight="1">
      <c r="A936" s="40"/>
      <c r="B936" s="40"/>
      <c r="C936" s="15"/>
      <c r="D936" s="28"/>
      <c r="E936" s="15"/>
      <c r="F936" s="41"/>
    </row>
    <row r="937" spans="1:6" ht="14.25" customHeight="1">
      <c r="A937" s="40"/>
      <c r="B937" s="40"/>
      <c r="C937" s="15"/>
      <c r="D937" s="28"/>
      <c r="E937" s="15"/>
      <c r="F937" s="41"/>
    </row>
    <row r="938" spans="1:6" ht="14.25" customHeight="1">
      <c r="A938" s="40"/>
      <c r="B938" s="40"/>
      <c r="C938" s="15"/>
      <c r="D938" s="28"/>
      <c r="E938" s="15"/>
      <c r="F938" s="41"/>
    </row>
    <row r="939" spans="1:6" ht="14.25" customHeight="1">
      <c r="A939" s="40"/>
      <c r="B939" s="40"/>
      <c r="C939" s="15"/>
      <c r="D939" s="28"/>
      <c r="E939" s="15"/>
      <c r="F939" s="41"/>
    </row>
    <row r="940" spans="1:6" ht="14.25" customHeight="1">
      <c r="A940" s="40"/>
      <c r="B940" s="40"/>
      <c r="C940" s="15"/>
      <c r="D940" s="28"/>
      <c r="E940" s="15"/>
      <c r="F940" s="41"/>
    </row>
    <row r="941" spans="1:6" ht="14.25" customHeight="1">
      <c r="A941" s="40"/>
      <c r="B941" s="40"/>
      <c r="C941" s="15"/>
      <c r="D941" s="28"/>
      <c r="E941" s="15"/>
      <c r="F941" s="41"/>
    </row>
    <row r="942" spans="1:6" ht="14.25" customHeight="1">
      <c r="A942" s="40"/>
      <c r="B942" s="40"/>
      <c r="C942" s="15"/>
      <c r="D942" s="28"/>
      <c r="E942" s="15"/>
      <c r="F942" s="41"/>
    </row>
    <row r="943" spans="1:6" ht="14.25" customHeight="1">
      <c r="A943" s="40"/>
      <c r="B943" s="40"/>
      <c r="C943" s="15"/>
      <c r="D943" s="28"/>
      <c r="E943" s="15"/>
      <c r="F943" s="41"/>
    </row>
    <row r="944" spans="1:6" ht="14.25" customHeight="1">
      <c r="A944" s="40"/>
      <c r="B944" s="40"/>
      <c r="C944" s="15"/>
      <c r="D944" s="28"/>
      <c r="E944" s="15"/>
      <c r="F944" s="41"/>
    </row>
    <row r="945" spans="1:6" ht="14.25" customHeight="1">
      <c r="A945" s="40"/>
      <c r="B945" s="40"/>
      <c r="C945" s="15"/>
      <c r="D945" s="28"/>
      <c r="E945" s="15"/>
      <c r="F945" s="41"/>
    </row>
    <row r="946" spans="1:6" ht="14.25" customHeight="1">
      <c r="A946" s="40"/>
      <c r="B946" s="40"/>
      <c r="C946" s="15"/>
      <c r="D946" s="28"/>
      <c r="E946" s="15"/>
      <c r="F946" s="41"/>
    </row>
    <row r="947" spans="1:6" ht="14.25" customHeight="1">
      <c r="C947" s="15"/>
      <c r="D947" s="28"/>
    </row>
    <row r="948" spans="1:6" ht="14.25" customHeight="1">
      <c r="C948" s="15"/>
      <c r="D948" s="28"/>
    </row>
    <row r="949" spans="1:6" ht="14.25" customHeight="1"/>
  </sheetData>
  <phoneticPr fontId="22" type="noConversion"/>
  <hyperlinks>
    <hyperlink ref="G3" r:id="rId1" xr:uid="{00D8779B-FA08-40E5-9776-AEE3CFCC5301}"/>
    <hyperlink ref="G4" r:id="rId2" xr:uid="{AB85AD5D-9021-42DA-BAC4-C928DACFC5EE}"/>
    <hyperlink ref="G6" r:id="rId3" xr:uid="{8BDC0DE3-DC13-4EE7-958C-FF012FA8207F}"/>
    <hyperlink ref="G8" r:id="rId4" xr:uid="{BA6524E7-ADF2-412D-814D-B0691D7FC618}"/>
  </hyperlinks>
  <pageMargins left="0.7" right="0.7" top="0.75" bottom="0.75" header="0" footer="0"/>
  <pageSetup paperSize="9" orientation="portrait" r:id="rId5"/>
  <tableParts count="1">
    <tablePart r:id="rId6"/>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899"/>
  <sheetViews>
    <sheetView topLeftCell="A52" zoomScale="59" zoomScaleNormal="100" workbookViewId="0">
      <selection activeCell="D101" sqref="D101"/>
    </sheetView>
  </sheetViews>
  <sheetFormatPr defaultColWidth="12.59765625" defaultRowHeight="15" customHeight="1"/>
  <cols>
    <col min="1" max="1" width="9.296875" style="6" customWidth="1"/>
    <col min="2" max="2" width="30.296875" style="6" customWidth="1"/>
    <col min="3" max="3" width="26.296875" style="6" customWidth="1"/>
    <col min="4" max="4" width="59" style="6" customWidth="1"/>
    <col min="5" max="5" width="12.296875" style="6" customWidth="1"/>
    <col min="6" max="6" width="34.69921875" style="6" customWidth="1"/>
    <col min="7" max="7" width="20.09765625" customWidth="1"/>
    <col min="8" max="8" width="12.296875" style="11" bestFit="1" customWidth="1"/>
    <col min="9" max="9" width="36.3984375" customWidth="1"/>
    <col min="10" max="10" width="35" customWidth="1"/>
    <col min="11" max="11" width="18.296875" customWidth="1"/>
    <col min="12" max="12" width="8.59765625" customWidth="1"/>
    <col min="13" max="13" width="23.8984375" customWidth="1"/>
    <col min="14" max="27" width="8.59765625" customWidth="1"/>
  </cols>
  <sheetData>
    <row r="1" spans="1:10" ht="14.25" customHeight="1">
      <c r="A1" s="7"/>
      <c r="B1" s="5"/>
      <c r="C1" s="8"/>
      <c r="D1" s="5"/>
      <c r="E1" s="14"/>
    </row>
    <row r="2" spans="1:10" ht="25.2" customHeight="1">
      <c r="A2" s="44" t="s">
        <v>0</v>
      </c>
      <c r="B2" s="45" t="s">
        <v>1</v>
      </c>
      <c r="C2" s="45" t="s">
        <v>2</v>
      </c>
      <c r="D2" s="45" t="s">
        <v>3</v>
      </c>
      <c r="E2" s="45" t="s">
        <v>4</v>
      </c>
      <c r="F2" s="49" t="s">
        <v>528</v>
      </c>
      <c r="G2" s="87" t="s">
        <v>22</v>
      </c>
      <c r="H2" s="50" t="s">
        <v>527</v>
      </c>
      <c r="I2" s="51" t="s">
        <v>5</v>
      </c>
      <c r="J2" s="50" t="s">
        <v>21</v>
      </c>
    </row>
    <row r="3" spans="1:10" ht="36" customHeight="1">
      <c r="A3" s="99">
        <v>1</v>
      </c>
      <c r="B3" s="20" t="s">
        <v>371</v>
      </c>
      <c r="C3" s="25" t="s">
        <v>372</v>
      </c>
      <c r="D3" s="37" t="s">
        <v>373</v>
      </c>
      <c r="E3" s="52" t="s">
        <v>7</v>
      </c>
      <c r="F3" s="106"/>
      <c r="G3" s="107" t="s">
        <v>14</v>
      </c>
      <c r="H3" s="121">
        <v>1</v>
      </c>
      <c r="I3" s="108"/>
      <c r="J3" s="100"/>
    </row>
    <row r="4" spans="1:10" ht="99" customHeight="1">
      <c r="A4" s="99">
        <f>SUM(A3+1)</f>
        <v>2</v>
      </c>
      <c r="B4" s="20" t="s">
        <v>6</v>
      </c>
      <c r="C4" s="25" t="s">
        <v>374</v>
      </c>
      <c r="D4" s="37" t="s">
        <v>375</v>
      </c>
      <c r="E4" s="52" t="s">
        <v>7</v>
      </c>
      <c r="F4" s="106"/>
      <c r="G4" s="109" t="s">
        <v>14</v>
      </c>
      <c r="H4" s="121">
        <v>1</v>
      </c>
      <c r="I4" s="66"/>
      <c r="J4" s="101"/>
    </row>
    <row r="5" spans="1:10" ht="147" customHeight="1">
      <c r="A5" s="99">
        <f t="shared" ref="A5:A67" si="0">SUM(A4+1)</f>
        <v>3</v>
      </c>
      <c r="B5" s="20" t="s">
        <v>376</v>
      </c>
      <c r="C5" s="25" t="s">
        <v>377</v>
      </c>
      <c r="D5" s="37" t="s">
        <v>378</v>
      </c>
      <c r="E5" s="52" t="s">
        <v>7</v>
      </c>
      <c r="F5" s="110"/>
      <c r="G5" s="109" t="s">
        <v>14</v>
      </c>
      <c r="H5" s="121">
        <v>1</v>
      </c>
      <c r="I5" s="66"/>
      <c r="J5" s="101"/>
    </row>
    <row r="6" spans="1:10" ht="66" customHeight="1">
      <c r="A6" s="99">
        <f t="shared" si="0"/>
        <v>4</v>
      </c>
      <c r="B6" s="20" t="s">
        <v>379</v>
      </c>
      <c r="C6" s="25" t="s">
        <v>380</v>
      </c>
      <c r="D6" s="37" t="s">
        <v>381</v>
      </c>
      <c r="E6" s="52" t="s">
        <v>10</v>
      </c>
      <c r="F6" s="62"/>
      <c r="G6" s="109" t="s">
        <v>529</v>
      </c>
      <c r="H6" s="121"/>
      <c r="I6" s="66"/>
      <c r="J6" s="101"/>
    </row>
    <row r="7" spans="1:10" ht="36" customHeight="1">
      <c r="A7" s="99">
        <f t="shared" si="0"/>
        <v>5</v>
      </c>
      <c r="B7" s="20" t="s">
        <v>382</v>
      </c>
      <c r="C7" s="25" t="s">
        <v>383</v>
      </c>
      <c r="D7" s="37" t="s">
        <v>384</v>
      </c>
      <c r="E7" s="52" t="s">
        <v>7</v>
      </c>
      <c r="F7" s="62"/>
      <c r="G7" s="153" t="s">
        <v>79</v>
      </c>
      <c r="H7" s="154"/>
      <c r="I7" s="155" t="s">
        <v>590</v>
      </c>
      <c r="J7" s="101"/>
    </row>
    <row r="8" spans="1:10" ht="39" customHeight="1">
      <c r="A8" s="99">
        <f t="shared" si="0"/>
        <v>6</v>
      </c>
      <c r="B8" s="20" t="s">
        <v>183</v>
      </c>
      <c r="C8" s="25" t="s">
        <v>385</v>
      </c>
      <c r="D8" s="37" t="s">
        <v>386</v>
      </c>
      <c r="E8" s="52" t="s">
        <v>7</v>
      </c>
      <c r="F8" s="62"/>
      <c r="G8" s="109" t="s">
        <v>14</v>
      </c>
      <c r="H8" s="121">
        <v>1</v>
      </c>
      <c r="I8" s="66" t="s">
        <v>539</v>
      </c>
      <c r="J8" s="101"/>
    </row>
    <row r="9" spans="1:10" ht="28.5" customHeight="1">
      <c r="A9" s="99">
        <f t="shared" si="0"/>
        <v>7</v>
      </c>
      <c r="B9" s="21" t="s">
        <v>387</v>
      </c>
      <c r="C9" s="25" t="s">
        <v>388</v>
      </c>
      <c r="D9" s="37" t="s">
        <v>78</v>
      </c>
      <c r="E9" s="52" t="s">
        <v>7</v>
      </c>
      <c r="F9" s="110"/>
      <c r="G9" s="109" t="s">
        <v>79</v>
      </c>
      <c r="H9" s="65">
        <v>0.5</v>
      </c>
      <c r="I9" s="66" t="s">
        <v>157</v>
      </c>
      <c r="J9" s="101"/>
    </row>
    <row r="10" spans="1:10" ht="22.5" customHeight="1">
      <c r="A10" s="99">
        <f t="shared" si="0"/>
        <v>8</v>
      </c>
      <c r="B10" s="20" t="s">
        <v>389</v>
      </c>
      <c r="C10" s="25" t="s">
        <v>390</v>
      </c>
      <c r="D10" s="37" t="s">
        <v>189</v>
      </c>
      <c r="E10" s="52" t="s">
        <v>7</v>
      </c>
      <c r="F10" s="62"/>
      <c r="G10" s="109" t="s">
        <v>529</v>
      </c>
      <c r="H10" s="121"/>
      <c r="I10" s="66"/>
      <c r="J10" s="101"/>
    </row>
    <row r="11" spans="1:10" ht="52.5" customHeight="1">
      <c r="A11" s="99">
        <f t="shared" si="0"/>
        <v>9</v>
      </c>
      <c r="B11" s="20" t="s">
        <v>47</v>
      </c>
      <c r="C11" s="25" t="s">
        <v>391</v>
      </c>
      <c r="D11" s="37" t="s">
        <v>392</v>
      </c>
      <c r="E11" s="52" t="s">
        <v>7</v>
      </c>
      <c r="F11" s="111"/>
      <c r="G11" s="109" t="s">
        <v>14</v>
      </c>
      <c r="H11" s="121">
        <v>1</v>
      </c>
      <c r="I11" s="66"/>
      <c r="J11" s="101"/>
    </row>
    <row r="12" spans="1:10" ht="21.75" customHeight="1">
      <c r="A12" s="99">
        <f t="shared" si="0"/>
        <v>10</v>
      </c>
      <c r="B12" s="20" t="s">
        <v>393</v>
      </c>
      <c r="C12" s="25" t="s">
        <v>394</v>
      </c>
      <c r="D12" s="37" t="s">
        <v>194</v>
      </c>
      <c r="E12" s="52" t="s">
        <v>10</v>
      </c>
      <c r="F12" s="112"/>
      <c r="G12" s="109" t="s">
        <v>14</v>
      </c>
      <c r="H12" s="121">
        <v>1</v>
      </c>
      <c r="I12" s="66" t="s">
        <v>539</v>
      </c>
      <c r="J12" s="101"/>
    </row>
    <row r="13" spans="1:10" ht="20.25" customHeight="1">
      <c r="A13" s="99">
        <f t="shared" si="0"/>
        <v>11</v>
      </c>
      <c r="B13" s="20" t="s">
        <v>395</v>
      </c>
      <c r="C13" s="25" t="s">
        <v>396</v>
      </c>
      <c r="D13" s="37" t="s">
        <v>288</v>
      </c>
      <c r="E13" s="52" t="s">
        <v>10</v>
      </c>
      <c r="F13" s="62"/>
      <c r="G13" s="149" t="s">
        <v>14</v>
      </c>
      <c r="H13" s="150">
        <v>1</v>
      </c>
      <c r="I13" s="66" t="s">
        <v>623</v>
      </c>
      <c r="J13" s="101"/>
    </row>
    <row r="14" spans="1:10" ht="19.5" customHeight="1">
      <c r="A14" s="99">
        <f t="shared" si="0"/>
        <v>12</v>
      </c>
      <c r="B14" s="20" t="s">
        <v>203</v>
      </c>
      <c r="C14" s="25" t="s">
        <v>397</v>
      </c>
      <c r="D14" s="37" t="s">
        <v>203</v>
      </c>
      <c r="E14" s="52" t="s">
        <v>7</v>
      </c>
      <c r="F14" s="112"/>
      <c r="G14" s="109" t="s">
        <v>14</v>
      </c>
      <c r="H14" s="121">
        <v>1</v>
      </c>
      <c r="I14" s="66"/>
      <c r="J14" s="101"/>
    </row>
    <row r="15" spans="1:10" ht="80.25" customHeight="1">
      <c r="A15" s="99">
        <f t="shared" si="0"/>
        <v>13</v>
      </c>
      <c r="B15" s="20" t="s">
        <v>24</v>
      </c>
      <c r="C15" s="25" t="s">
        <v>398</v>
      </c>
      <c r="D15" s="37" t="s">
        <v>399</v>
      </c>
      <c r="E15" s="52" t="s">
        <v>7</v>
      </c>
      <c r="F15" s="112"/>
      <c r="G15" s="109" t="s">
        <v>14</v>
      </c>
      <c r="H15" s="121">
        <v>1</v>
      </c>
      <c r="I15" s="66"/>
      <c r="J15" s="101"/>
    </row>
    <row r="16" spans="1:10" ht="122.25" customHeight="1">
      <c r="A16" s="99">
        <f t="shared" si="0"/>
        <v>14</v>
      </c>
      <c r="B16" s="20" t="s">
        <v>24</v>
      </c>
      <c r="C16" s="25" t="s">
        <v>398</v>
      </c>
      <c r="D16" s="37" t="s">
        <v>400</v>
      </c>
      <c r="E16" s="52" t="s">
        <v>7</v>
      </c>
      <c r="F16" s="112"/>
      <c r="G16" s="109" t="s">
        <v>14</v>
      </c>
      <c r="H16" s="121">
        <v>1</v>
      </c>
      <c r="I16" s="66"/>
      <c r="J16" s="101"/>
    </row>
    <row r="17" spans="1:10" ht="63.75" customHeight="1">
      <c r="A17" s="99">
        <f t="shared" si="0"/>
        <v>15</v>
      </c>
      <c r="B17" s="20" t="s">
        <v>25</v>
      </c>
      <c r="C17" s="25" t="s">
        <v>401</v>
      </c>
      <c r="D17" s="37" t="s">
        <v>402</v>
      </c>
      <c r="E17" s="52" t="s">
        <v>7</v>
      </c>
      <c r="F17" s="112"/>
      <c r="G17" s="109" t="s">
        <v>14</v>
      </c>
      <c r="H17" s="121">
        <v>1</v>
      </c>
      <c r="I17" s="66"/>
      <c r="J17" s="101"/>
    </row>
    <row r="18" spans="1:10" ht="45.75" customHeight="1">
      <c r="A18" s="99">
        <f t="shared" si="0"/>
        <v>16</v>
      </c>
      <c r="B18" s="20" t="s">
        <v>403</v>
      </c>
      <c r="C18" s="25" t="s">
        <v>404</v>
      </c>
      <c r="D18" s="37" t="s">
        <v>405</v>
      </c>
      <c r="E18" s="52" t="s">
        <v>10</v>
      </c>
      <c r="F18" s="106"/>
      <c r="G18" s="109" t="s">
        <v>14</v>
      </c>
      <c r="H18" s="121">
        <v>1</v>
      </c>
      <c r="I18" s="66" t="s">
        <v>540</v>
      </c>
      <c r="J18" s="101"/>
    </row>
    <row r="19" spans="1:10" ht="24" customHeight="1">
      <c r="A19" s="99">
        <f t="shared" si="0"/>
        <v>17</v>
      </c>
      <c r="B19" s="20" t="s">
        <v>26</v>
      </c>
      <c r="C19" s="25" t="s">
        <v>406</v>
      </c>
      <c r="D19" s="37" t="s">
        <v>407</v>
      </c>
      <c r="E19" s="52" t="s">
        <v>7</v>
      </c>
      <c r="F19" s="106"/>
      <c r="G19" s="109" t="s">
        <v>14</v>
      </c>
      <c r="H19" s="121">
        <v>1</v>
      </c>
      <c r="I19" s="66"/>
      <c r="J19" s="101"/>
    </row>
    <row r="20" spans="1:10" ht="35.25" customHeight="1">
      <c r="A20" s="99">
        <f t="shared" si="0"/>
        <v>18</v>
      </c>
      <c r="B20" s="20" t="s">
        <v>26</v>
      </c>
      <c r="C20" s="25" t="s">
        <v>406</v>
      </c>
      <c r="D20" s="37" t="s">
        <v>408</v>
      </c>
      <c r="E20" s="52" t="s">
        <v>10</v>
      </c>
      <c r="F20" s="62"/>
      <c r="G20" s="109" t="s">
        <v>14</v>
      </c>
      <c r="H20" s="121">
        <v>1</v>
      </c>
      <c r="I20" s="66"/>
      <c r="J20" s="101"/>
    </row>
    <row r="21" spans="1:10" ht="54" customHeight="1">
      <c r="A21" s="99">
        <f t="shared" si="0"/>
        <v>19</v>
      </c>
      <c r="B21" s="20" t="s">
        <v>27</v>
      </c>
      <c r="C21" s="25" t="s">
        <v>409</v>
      </c>
      <c r="D21" s="37" t="s">
        <v>410</v>
      </c>
      <c r="E21" s="52" t="s">
        <v>7</v>
      </c>
      <c r="F21" s="113"/>
      <c r="G21" s="109" t="s">
        <v>14</v>
      </c>
      <c r="H21" s="121">
        <v>1</v>
      </c>
      <c r="I21" s="66"/>
      <c r="J21" s="101"/>
    </row>
    <row r="22" spans="1:10" ht="50.25" customHeight="1">
      <c r="A22" s="99">
        <f t="shared" si="0"/>
        <v>20</v>
      </c>
      <c r="B22" s="20" t="s">
        <v>411</v>
      </c>
      <c r="C22" s="25" t="s">
        <v>412</v>
      </c>
      <c r="D22" s="37" t="s">
        <v>413</v>
      </c>
      <c r="E22" s="86" t="s">
        <v>7</v>
      </c>
      <c r="F22" s="39"/>
      <c r="G22" s="114" t="s">
        <v>14</v>
      </c>
      <c r="H22" s="121">
        <v>1</v>
      </c>
      <c r="I22" s="66"/>
      <c r="J22" s="101"/>
    </row>
    <row r="23" spans="1:10" ht="54.75" customHeight="1">
      <c r="A23" s="99">
        <f t="shared" si="0"/>
        <v>21</v>
      </c>
      <c r="B23" s="20" t="s">
        <v>28</v>
      </c>
      <c r="C23" s="25" t="s">
        <v>414</v>
      </c>
      <c r="D23" s="37" t="s">
        <v>415</v>
      </c>
      <c r="E23" s="86" t="s">
        <v>7</v>
      </c>
      <c r="F23" s="39"/>
      <c r="G23" s="114" t="s">
        <v>14</v>
      </c>
      <c r="H23" s="121">
        <v>1</v>
      </c>
      <c r="I23" s="66"/>
      <c r="J23" s="101"/>
    </row>
    <row r="24" spans="1:10" ht="21" customHeight="1">
      <c r="A24" s="99">
        <f t="shared" si="0"/>
        <v>22</v>
      </c>
      <c r="B24" s="20" t="s">
        <v>28</v>
      </c>
      <c r="C24" s="25" t="s">
        <v>414</v>
      </c>
      <c r="D24" s="37" t="s">
        <v>222</v>
      </c>
      <c r="E24" s="52" t="s">
        <v>10</v>
      </c>
      <c r="F24" s="115"/>
      <c r="G24" s="114" t="s">
        <v>14</v>
      </c>
      <c r="H24" s="121">
        <v>1</v>
      </c>
      <c r="I24" s="66"/>
      <c r="J24" s="101"/>
    </row>
    <row r="25" spans="1:10" ht="24" customHeight="1">
      <c r="A25" s="99">
        <f t="shared" si="0"/>
        <v>23</v>
      </c>
      <c r="B25" s="20" t="s">
        <v>29</v>
      </c>
      <c r="C25" s="25" t="s">
        <v>416</v>
      </c>
      <c r="D25" s="37" t="s">
        <v>417</v>
      </c>
      <c r="E25" s="52" t="s">
        <v>7</v>
      </c>
      <c r="F25" s="42"/>
      <c r="G25" s="109" t="s">
        <v>14</v>
      </c>
      <c r="H25" s="121">
        <v>1</v>
      </c>
      <c r="I25" s="66"/>
      <c r="J25" s="101"/>
    </row>
    <row r="26" spans="1:10" ht="27.6">
      <c r="A26" s="99">
        <f t="shared" si="0"/>
        <v>24</v>
      </c>
      <c r="B26" s="20" t="s">
        <v>30</v>
      </c>
      <c r="C26" s="25" t="s">
        <v>418</v>
      </c>
      <c r="D26" s="37" t="s">
        <v>419</v>
      </c>
      <c r="E26" s="52" t="s">
        <v>7</v>
      </c>
      <c r="F26" s="112"/>
      <c r="G26" s="109" t="s">
        <v>14</v>
      </c>
      <c r="H26" s="121">
        <v>1</v>
      </c>
      <c r="I26" s="66" t="s">
        <v>541</v>
      </c>
      <c r="J26" s="101"/>
    </row>
    <row r="27" spans="1:10" ht="63" customHeight="1">
      <c r="A27" s="99">
        <f t="shared" si="0"/>
        <v>25</v>
      </c>
      <c r="B27" s="20" t="s">
        <v>31</v>
      </c>
      <c r="C27" s="25" t="s">
        <v>420</v>
      </c>
      <c r="D27" s="37" t="s">
        <v>421</v>
      </c>
      <c r="E27" s="52" t="s">
        <v>7</v>
      </c>
      <c r="F27" s="112"/>
      <c r="G27" s="109" t="s">
        <v>14</v>
      </c>
      <c r="H27" s="121">
        <v>1</v>
      </c>
      <c r="I27" s="66"/>
      <c r="J27" s="101"/>
    </row>
    <row r="28" spans="1:10" ht="31.5" customHeight="1">
      <c r="A28" s="99">
        <f>SUM(A27+1)</f>
        <v>26</v>
      </c>
      <c r="B28" s="20" t="s">
        <v>422</v>
      </c>
      <c r="C28" s="25" t="s">
        <v>423</v>
      </c>
      <c r="D28" s="37" t="s">
        <v>258</v>
      </c>
      <c r="E28" s="52" t="s">
        <v>7</v>
      </c>
      <c r="F28" s="112"/>
      <c r="G28" s="109" t="s">
        <v>14</v>
      </c>
      <c r="H28" s="121">
        <v>1</v>
      </c>
      <c r="I28" s="66" t="s">
        <v>539</v>
      </c>
      <c r="J28" s="101"/>
    </row>
    <row r="29" spans="1:10" ht="35.25" customHeight="1">
      <c r="A29" s="99">
        <f t="shared" si="0"/>
        <v>27</v>
      </c>
      <c r="B29" s="20" t="s">
        <v>424</v>
      </c>
      <c r="C29" s="25" t="s">
        <v>425</v>
      </c>
      <c r="D29" s="37" t="s">
        <v>426</v>
      </c>
      <c r="E29" s="52" t="s">
        <v>10</v>
      </c>
      <c r="F29" s="62"/>
      <c r="G29" s="109" t="s">
        <v>14</v>
      </c>
      <c r="H29" s="121">
        <v>1</v>
      </c>
      <c r="I29" s="66"/>
      <c r="J29" s="101"/>
    </row>
    <row r="30" spans="1:10" ht="19.5" customHeight="1">
      <c r="A30" s="99">
        <f t="shared" si="0"/>
        <v>28</v>
      </c>
      <c r="B30" s="20" t="s">
        <v>424</v>
      </c>
      <c r="C30" s="25" t="s">
        <v>425</v>
      </c>
      <c r="D30" s="37" t="s">
        <v>427</v>
      </c>
      <c r="E30" s="52" t="s">
        <v>7</v>
      </c>
      <c r="F30" s="112"/>
      <c r="G30" s="109" t="s">
        <v>14</v>
      </c>
      <c r="H30" s="121">
        <v>1</v>
      </c>
      <c r="I30" s="66"/>
      <c r="J30" s="101"/>
    </row>
    <row r="31" spans="1:10" ht="67.5" customHeight="1">
      <c r="A31" s="99">
        <f t="shared" si="0"/>
        <v>29</v>
      </c>
      <c r="B31" s="20" t="s">
        <v>428</v>
      </c>
      <c r="C31" s="25" t="s">
        <v>429</v>
      </c>
      <c r="D31" s="37" t="s">
        <v>430</v>
      </c>
      <c r="E31" s="52" t="s">
        <v>7</v>
      </c>
      <c r="F31" s="62"/>
      <c r="G31" s="109" t="s">
        <v>14</v>
      </c>
      <c r="H31" s="121">
        <v>1</v>
      </c>
      <c r="I31" s="66"/>
      <c r="J31" s="101"/>
    </row>
    <row r="32" spans="1:10" ht="27.6">
      <c r="A32" s="99">
        <f t="shared" si="0"/>
        <v>30</v>
      </c>
      <c r="B32" s="20" t="s">
        <v>431</v>
      </c>
      <c r="C32" s="25" t="s">
        <v>432</v>
      </c>
      <c r="D32" s="37" t="s">
        <v>433</v>
      </c>
      <c r="E32" s="52" t="s">
        <v>10</v>
      </c>
      <c r="F32" s="62"/>
      <c r="G32" s="122" t="s">
        <v>79</v>
      </c>
      <c r="H32" s="123">
        <v>1</v>
      </c>
      <c r="I32" s="66" t="s">
        <v>595</v>
      </c>
      <c r="J32" s="101"/>
    </row>
    <row r="33" spans="1:10" ht="27.6">
      <c r="A33" s="99">
        <f t="shared" si="0"/>
        <v>31</v>
      </c>
      <c r="B33" s="20" t="s">
        <v>32</v>
      </c>
      <c r="C33" s="25" t="s">
        <v>434</v>
      </c>
      <c r="D33" s="37" t="s">
        <v>435</v>
      </c>
      <c r="E33" s="52" t="s">
        <v>10</v>
      </c>
      <c r="F33" s="62"/>
      <c r="G33" s="122" t="s">
        <v>79</v>
      </c>
      <c r="H33" s="123">
        <v>1</v>
      </c>
      <c r="I33" s="66"/>
      <c r="J33" s="101"/>
    </row>
    <row r="34" spans="1:10" ht="22.5" customHeight="1">
      <c r="A34" s="99">
        <f t="shared" si="0"/>
        <v>32</v>
      </c>
      <c r="B34" s="20" t="s">
        <v>436</v>
      </c>
      <c r="C34" s="25" t="s">
        <v>437</v>
      </c>
      <c r="D34" s="37" t="s">
        <v>438</v>
      </c>
      <c r="E34" s="52" t="s">
        <v>10</v>
      </c>
      <c r="F34" s="62"/>
      <c r="G34" s="122" t="s">
        <v>79</v>
      </c>
      <c r="H34" s="123"/>
      <c r="I34" s="66" t="s">
        <v>597</v>
      </c>
      <c r="J34" s="101"/>
    </row>
    <row r="35" spans="1:10" ht="30.75" customHeight="1">
      <c r="A35" s="99">
        <f t="shared" si="0"/>
        <v>33</v>
      </c>
      <c r="B35" s="20" t="s">
        <v>33</v>
      </c>
      <c r="C35" s="25" t="s">
        <v>439</v>
      </c>
      <c r="D35" s="37" t="s">
        <v>440</v>
      </c>
      <c r="E35" s="52" t="s">
        <v>10</v>
      </c>
      <c r="F35" s="106"/>
      <c r="G35" s="109" t="s">
        <v>14</v>
      </c>
      <c r="H35" s="121">
        <v>1</v>
      </c>
      <c r="I35" s="66"/>
      <c r="J35" s="101"/>
    </row>
    <row r="36" spans="1:10" ht="20.25" customHeight="1">
      <c r="A36" s="99">
        <f t="shared" si="0"/>
        <v>34</v>
      </c>
      <c r="B36" s="20" t="s">
        <v>34</v>
      </c>
      <c r="C36" s="25" t="s">
        <v>441</v>
      </c>
      <c r="D36" s="37" t="s">
        <v>442</v>
      </c>
      <c r="E36" s="52" t="s">
        <v>7</v>
      </c>
      <c r="F36" s="106"/>
      <c r="G36" s="109" t="s">
        <v>14</v>
      </c>
      <c r="H36" s="121">
        <v>1</v>
      </c>
      <c r="I36" s="66"/>
      <c r="J36" s="101"/>
    </row>
    <row r="37" spans="1:10" ht="19.5" customHeight="1">
      <c r="A37" s="99">
        <f t="shared" si="0"/>
        <v>35</v>
      </c>
      <c r="B37" s="20" t="s">
        <v>443</v>
      </c>
      <c r="C37" s="25" t="s">
        <v>444</v>
      </c>
      <c r="D37" s="37" t="s">
        <v>445</v>
      </c>
      <c r="E37" s="52" t="s">
        <v>7</v>
      </c>
      <c r="F37" s="62"/>
      <c r="G37" s="109" t="s">
        <v>14</v>
      </c>
      <c r="H37" s="121">
        <v>1</v>
      </c>
      <c r="I37" s="66"/>
      <c r="J37" s="101"/>
    </row>
    <row r="38" spans="1:10" ht="33.75" customHeight="1">
      <c r="A38" s="99">
        <f t="shared" si="0"/>
        <v>36</v>
      </c>
      <c r="B38" s="20" t="s">
        <v>52</v>
      </c>
      <c r="C38" s="25" t="s">
        <v>446</v>
      </c>
      <c r="D38" s="37" t="s">
        <v>447</v>
      </c>
      <c r="E38" s="52" t="s">
        <v>7</v>
      </c>
      <c r="F38" s="106"/>
      <c r="G38" s="109" t="s">
        <v>14</v>
      </c>
      <c r="H38" s="121">
        <v>1</v>
      </c>
      <c r="I38" s="66"/>
      <c r="J38" s="101"/>
    </row>
    <row r="39" spans="1:10" ht="35.25" customHeight="1">
      <c r="A39" s="99">
        <f t="shared" si="0"/>
        <v>37</v>
      </c>
      <c r="B39" s="20" t="s">
        <v>282</v>
      </c>
      <c r="C39" s="25" t="s">
        <v>448</v>
      </c>
      <c r="D39" s="37" t="s">
        <v>449</v>
      </c>
      <c r="E39" s="52" t="s">
        <v>10</v>
      </c>
      <c r="F39" s="106"/>
      <c r="G39" s="109" t="s">
        <v>14</v>
      </c>
      <c r="H39" s="121">
        <v>1</v>
      </c>
      <c r="I39" s="66"/>
      <c r="J39" s="101"/>
    </row>
    <row r="40" spans="1:10" ht="19.5" customHeight="1">
      <c r="A40" s="99">
        <f t="shared" si="0"/>
        <v>38</v>
      </c>
      <c r="B40" s="20" t="s">
        <v>235</v>
      </c>
      <c r="C40" s="25" t="s">
        <v>450</v>
      </c>
      <c r="D40" s="37" t="s">
        <v>451</v>
      </c>
      <c r="E40" s="52" t="s">
        <v>7</v>
      </c>
      <c r="F40" s="62"/>
      <c r="G40" s="109" t="s">
        <v>14</v>
      </c>
      <c r="H40" s="121">
        <v>1</v>
      </c>
      <c r="I40" s="66"/>
      <c r="J40" s="101"/>
    </row>
    <row r="41" spans="1:10" ht="32.25" customHeight="1">
      <c r="A41" s="99">
        <f t="shared" si="0"/>
        <v>39</v>
      </c>
      <c r="B41" s="20" t="s">
        <v>36</v>
      </c>
      <c r="C41" s="25" t="s">
        <v>452</v>
      </c>
      <c r="D41" s="37" t="s">
        <v>453</v>
      </c>
      <c r="E41" s="52" t="s">
        <v>7</v>
      </c>
      <c r="F41" s="106"/>
      <c r="G41" s="109" t="s">
        <v>14</v>
      </c>
      <c r="H41" s="121">
        <v>1</v>
      </c>
      <c r="I41" s="66"/>
      <c r="J41" s="101"/>
    </row>
    <row r="42" spans="1:10" ht="50.25" customHeight="1">
      <c r="A42" s="99">
        <f t="shared" si="0"/>
        <v>40</v>
      </c>
      <c r="B42" s="20" t="s">
        <v>54</v>
      </c>
      <c r="C42" s="25" t="s">
        <v>454</v>
      </c>
      <c r="D42" s="37" t="s">
        <v>455</v>
      </c>
      <c r="E42" s="52" t="s">
        <v>10</v>
      </c>
      <c r="F42" s="106"/>
      <c r="G42" s="109" t="s">
        <v>14</v>
      </c>
      <c r="H42" s="121">
        <v>1</v>
      </c>
      <c r="I42" s="66"/>
      <c r="J42" s="101"/>
    </row>
    <row r="43" spans="1:10" ht="19.5" customHeight="1">
      <c r="A43" s="99">
        <f t="shared" si="0"/>
        <v>41</v>
      </c>
      <c r="B43" s="20" t="s">
        <v>37</v>
      </c>
      <c r="C43" s="25" t="s">
        <v>456</v>
      </c>
      <c r="D43" s="52" t="s">
        <v>457</v>
      </c>
      <c r="E43" s="52" t="s">
        <v>7</v>
      </c>
      <c r="F43" s="106"/>
      <c r="G43" s="109" t="s">
        <v>14</v>
      </c>
      <c r="H43" s="121">
        <v>1</v>
      </c>
      <c r="I43" s="66"/>
      <c r="J43" s="101"/>
    </row>
    <row r="44" spans="1:10" ht="33.75" customHeight="1">
      <c r="A44" s="99">
        <f t="shared" si="0"/>
        <v>42</v>
      </c>
      <c r="B44" s="20" t="s">
        <v>55</v>
      </c>
      <c r="C44" s="25" t="s">
        <v>458</v>
      </c>
      <c r="D44" s="37" t="s">
        <v>459</v>
      </c>
      <c r="E44" s="52" t="s">
        <v>7</v>
      </c>
      <c r="F44" s="106"/>
      <c r="G44" s="122" t="s">
        <v>79</v>
      </c>
      <c r="H44" s="123">
        <v>1</v>
      </c>
      <c r="I44" s="66" t="s">
        <v>590</v>
      </c>
      <c r="J44" s="101"/>
    </row>
    <row r="45" spans="1:10" ht="37.5" customHeight="1">
      <c r="A45" s="99">
        <f t="shared" si="0"/>
        <v>43</v>
      </c>
      <c r="B45" s="20" t="s">
        <v>38</v>
      </c>
      <c r="C45" s="25" t="s">
        <v>460</v>
      </c>
      <c r="D45" s="37" t="s">
        <v>461</v>
      </c>
      <c r="E45" s="52" t="s">
        <v>10</v>
      </c>
      <c r="F45" s="62"/>
      <c r="G45" s="122" t="s">
        <v>79</v>
      </c>
      <c r="H45" s="123">
        <v>1</v>
      </c>
      <c r="I45" s="66" t="s">
        <v>590</v>
      </c>
      <c r="J45" s="101"/>
    </row>
    <row r="46" spans="1:10" ht="21" customHeight="1">
      <c r="A46" s="99">
        <f t="shared" si="0"/>
        <v>44</v>
      </c>
      <c r="B46" s="20" t="s">
        <v>39</v>
      </c>
      <c r="C46" s="25" t="s">
        <v>462</v>
      </c>
      <c r="D46" s="37" t="s">
        <v>463</v>
      </c>
      <c r="E46" s="52" t="s">
        <v>10</v>
      </c>
      <c r="F46" s="116"/>
      <c r="G46" s="109" t="s">
        <v>14</v>
      </c>
      <c r="H46" s="121">
        <v>1</v>
      </c>
      <c r="I46" s="66"/>
      <c r="J46" s="101"/>
    </row>
    <row r="47" spans="1:10" ht="21" customHeight="1">
      <c r="A47" s="99">
        <f t="shared" si="0"/>
        <v>45</v>
      </c>
      <c r="B47" s="20" t="s">
        <v>464</v>
      </c>
      <c r="C47" s="25" t="s">
        <v>465</v>
      </c>
      <c r="D47" s="37" t="s">
        <v>466</v>
      </c>
      <c r="E47" s="52" t="s">
        <v>7</v>
      </c>
      <c r="F47" s="112"/>
      <c r="G47" s="109" t="s">
        <v>14</v>
      </c>
      <c r="H47" s="121">
        <v>1</v>
      </c>
      <c r="I47" s="66"/>
      <c r="J47" s="101"/>
    </row>
    <row r="48" spans="1:10" ht="20.25" customHeight="1">
      <c r="A48" s="99">
        <f t="shared" si="0"/>
        <v>46</v>
      </c>
      <c r="B48" s="20" t="s">
        <v>40</v>
      </c>
      <c r="C48" s="25" t="s">
        <v>467</v>
      </c>
      <c r="D48" s="37" t="s">
        <v>258</v>
      </c>
      <c r="E48" s="52" t="s">
        <v>7</v>
      </c>
      <c r="F48" s="112"/>
      <c r="G48" s="109" t="s">
        <v>14</v>
      </c>
      <c r="H48" s="121">
        <v>1</v>
      </c>
      <c r="I48" s="66"/>
      <c r="J48" s="101"/>
    </row>
    <row r="49" spans="1:10" ht="31.5" customHeight="1">
      <c r="A49" s="99">
        <f t="shared" si="0"/>
        <v>47</v>
      </c>
      <c r="B49" s="20" t="s">
        <v>56</v>
      </c>
      <c r="C49" s="25" t="s">
        <v>468</v>
      </c>
      <c r="D49" s="37" t="s">
        <v>469</v>
      </c>
      <c r="E49" s="52" t="s">
        <v>7</v>
      </c>
      <c r="F49" s="122"/>
      <c r="G49" s="149" t="s">
        <v>14</v>
      </c>
      <c r="H49" s="150">
        <v>1</v>
      </c>
      <c r="I49" s="152" t="s">
        <v>593</v>
      </c>
      <c r="J49" s="101"/>
    </row>
    <row r="50" spans="1:10" ht="18.75" customHeight="1">
      <c r="A50" s="99">
        <f t="shared" si="0"/>
        <v>48</v>
      </c>
      <c r="B50" s="20" t="s">
        <v>57</v>
      </c>
      <c r="C50" s="25" t="s">
        <v>470</v>
      </c>
      <c r="D50" s="37" t="s">
        <v>316</v>
      </c>
      <c r="E50" s="52" t="s">
        <v>7</v>
      </c>
      <c r="F50" s="42"/>
      <c r="G50" s="109" t="s">
        <v>14</v>
      </c>
      <c r="H50" s="121">
        <v>1</v>
      </c>
      <c r="I50" s="66"/>
      <c r="J50" s="101"/>
    </row>
    <row r="51" spans="1:10" ht="20.25" customHeight="1">
      <c r="A51" s="99">
        <f t="shared" si="0"/>
        <v>49</v>
      </c>
      <c r="B51" s="20" t="s">
        <v>471</v>
      </c>
      <c r="C51" s="25" t="s">
        <v>472</v>
      </c>
      <c r="D51" s="37" t="s">
        <v>473</v>
      </c>
      <c r="E51" s="52" t="s">
        <v>7</v>
      </c>
      <c r="F51" s="112"/>
      <c r="G51" s="109" t="s">
        <v>14</v>
      </c>
      <c r="H51" s="121">
        <v>1</v>
      </c>
      <c r="I51" s="66"/>
      <c r="J51" s="101"/>
    </row>
    <row r="52" spans="1:10" ht="21.75" customHeight="1">
      <c r="A52" s="99">
        <f t="shared" si="0"/>
        <v>50</v>
      </c>
      <c r="B52" s="20" t="s">
        <v>474</v>
      </c>
      <c r="C52" s="25" t="s">
        <v>475</v>
      </c>
      <c r="D52" s="37" t="s">
        <v>476</v>
      </c>
      <c r="E52" s="52" t="s">
        <v>7</v>
      </c>
      <c r="F52" s="106"/>
      <c r="G52" s="109" t="s">
        <v>14</v>
      </c>
      <c r="H52" s="121">
        <v>1</v>
      </c>
      <c r="I52" s="66"/>
      <c r="J52" s="101"/>
    </row>
    <row r="53" spans="1:10" ht="20.25" customHeight="1">
      <c r="A53" s="99">
        <f t="shared" si="0"/>
        <v>51</v>
      </c>
      <c r="B53" s="20" t="s">
        <v>41</v>
      </c>
      <c r="C53" s="25" t="s">
        <v>477</v>
      </c>
      <c r="D53" s="37" t="s">
        <v>478</v>
      </c>
      <c r="E53" s="52" t="s">
        <v>10</v>
      </c>
      <c r="F53" s="62"/>
      <c r="G53" s="109" t="s">
        <v>14</v>
      </c>
      <c r="H53" s="121">
        <v>1</v>
      </c>
      <c r="I53" s="66"/>
      <c r="J53" s="101"/>
    </row>
    <row r="54" spans="1:10" ht="22.5" customHeight="1">
      <c r="A54" s="99">
        <f t="shared" si="0"/>
        <v>52</v>
      </c>
      <c r="B54" s="20" t="s">
        <v>173</v>
      </c>
      <c r="C54" s="25" t="s">
        <v>479</v>
      </c>
      <c r="D54" s="37" t="s">
        <v>480</v>
      </c>
      <c r="E54" s="52" t="s">
        <v>10</v>
      </c>
      <c r="F54" s="62"/>
      <c r="G54" s="149" t="s">
        <v>79</v>
      </c>
      <c r="H54" s="150">
        <v>1</v>
      </c>
      <c r="I54" s="66" t="s">
        <v>624</v>
      </c>
      <c r="J54" s="101"/>
    </row>
    <row r="55" spans="1:10" ht="34.200000000000003" customHeight="1">
      <c r="A55" s="99">
        <f t="shared" si="0"/>
        <v>53</v>
      </c>
      <c r="B55" s="20" t="s">
        <v>42</v>
      </c>
      <c r="C55" s="25" t="s">
        <v>481</v>
      </c>
      <c r="D55" s="37" t="s">
        <v>482</v>
      </c>
      <c r="E55" s="52" t="s">
        <v>7</v>
      </c>
      <c r="F55" s="62"/>
      <c r="G55" s="149" t="s">
        <v>79</v>
      </c>
      <c r="H55" s="150">
        <v>0.5</v>
      </c>
      <c r="I55" s="66" t="s">
        <v>593</v>
      </c>
      <c r="J55" s="101"/>
    </row>
    <row r="56" spans="1:10" ht="24" customHeight="1">
      <c r="A56" s="99">
        <f t="shared" si="0"/>
        <v>54</v>
      </c>
      <c r="B56" s="20" t="s">
        <v>317</v>
      </c>
      <c r="C56" s="25" t="s">
        <v>483</v>
      </c>
      <c r="D56" s="37" t="s">
        <v>484</v>
      </c>
      <c r="E56" s="52" t="s">
        <v>7</v>
      </c>
      <c r="F56" s="112"/>
      <c r="G56" s="109" t="s">
        <v>14</v>
      </c>
      <c r="H56" s="121">
        <v>1</v>
      </c>
      <c r="I56" s="66"/>
      <c r="J56" s="101"/>
    </row>
    <row r="57" spans="1:10" ht="25.5" customHeight="1">
      <c r="A57" s="99">
        <f t="shared" si="0"/>
        <v>55</v>
      </c>
      <c r="B57" s="20" t="s">
        <v>485</v>
      </c>
      <c r="C57" s="25" t="s">
        <v>486</v>
      </c>
      <c r="D57" s="37" t="s">
        <v>487</v>
      </c>
      <c r="E57" s="52" t="s">
        <v>10</v>
      </c>
      <c r="F57" s="62"/>
      <c r="G57" s="149" t="s">
        <v>79</v>
      </c>
      <c r="H57" s="150">
        <v>1</v>
      </c>
      <c r="I57" s="66" t="s">
        <v>625</v>
      </c>
      <c r="J57" s="101"/>
    </row>
    <row r="58" spans="1:10" ht="27.6">
      <c r="A58" s="99">
        <f t="shared" si="0"/>
        <v>56</v>
      </c>
      <c r="B58" s="20" t="s">
        <v>43</v>
      </c>
      <c r="C58" s="25" t="s">
        <v>488</v>
      </c>
      <c r="D58" s="37" t="s">
        <v>489</v>
      </c>
      <c r="E58" s="52" t="s">
        <v>10</v>
      </c>
      <c r="F58" s="62"/>
      <c r="G58" s="149" t="s">
        <v>79</v>
      </c>
      <c r="H58" s="150">
        <v>1</v>
      </c>
      <c r="I58" s="66" t="s">
        <v>626</v>
      </c>
      <c r="J58" s="101"/>
    </row>
    <row r="59" spans="1:10" ht="35.25" customHeight="1">
      <c r="A59" s="99">
        <f t="shared" si="0"/>
        <v>57</v>
      </c>
      <c r="B59" s="20" t="s">
        <v>44</v>
      </c>
      <c r="C59" s="25" t="s">
        <v>490</v>
      </c>
      <c r="D59" s="37" t="s">
        <v>491</v>
      </c>
      <c r="E59" s="52" t="s">
        <v>7</v>
      </c>
      <c r="F59" s="112"/>
      <c r="G59" s="109" t="s">
        <v>14</v>
      </c>
      <c r="H59" s="121">
        <v>1</v>
      </c>
      <c r="I59" s="66"/>
      <c r="J59" s="101"/>
    </row>
    <row r="60" spans="1:10" ht="21.75" customHeight="1">
      <c r="A60" s="99">
        <f t="shared" si="0"/>
        <v>58</v>
      </c>
      <c r="B60" s="20" t="s">
        <v>59</v>
      </c>
      <c r="C60" s="25" t="s">
        <v>492</v>
      </c>
      <c r="D60" s="37" t="s">
        <v>493</v>
      </c>
      <c r="E60" s="52" t="s">
        <v>7</v>
      </c>
      <c r="F60" s="110"/>
      <c r="G60" s="109" t="s">
        <v>14</v>
      </c>
      <c r="H60" s="121">
        <v>1</v>
      </c>
      <c r="I60" s="66"/>
      <c r="J60" s="101"/>
    </row>
    <row r="61" spans="1:10" ht="36.75" customHeight="1">
      <c r="A61" s="99">
        <f t="shared" si="0"/>
        <v>59</v>
      </c>
      <c r="B61" s="20" t="s">
        <v>60</v>
      </c>
      <c r="C61" s="25" t="s">
        <v>494</v>
      </c>
      <c r="D61" s="37" t="s">
        <v>129</v>
      </c>
      <c r="E61" s="53" t="s">
        <v>7</v>
      </c>
      <c r="F61" s="42"/>
      <c r="G61" s="109" t="s">
        <v>14</v>
      </c>
      <c r="H61" s="121">
        <v>1</v>
      </c>
      <c r="I61" s="66"/>
      <c r="J61" s="101"/>
    </row>
    <row r="62" spans="1:10" ht="18.75" customHeight="1">
      <c r="A62" s="99">
        <f t="shared" si="0"/>
        <v>60</v>
      </c>
      <c r="B62" s="20" t="s">
        <v>333</v>
      </c>
      <c r="C62" s="25" t="s">
        <v>495</v>
      </c>
      <c r="D62" s="37" t="s">
        <v>335</v>
      </c>
      <c r="E62" s="52" t="s">
        <v>7</v>
      </c>
      <c r="F62" s="112"/>
      <c r="G62" s="109" t="s">
        <v>14</v>
      </c>
      <c r="H62" s="121">
        <v>1</v>
      </c>
      <c r="I62" s="66"/>
      <c r="J62" s="101"/>
    </row>
    <row r="63" spans="1:10" ht="49.5" customHeight="1">
      <c r="A63" s="99">
        <f>SUM(A62+1)</f>
        <v>61</v>
      </c>
      <c r="B63" s="20" t="s">
        <v>96</v>
      </c>
      <c r="C63" s="25" t="s">
        <v>496</v>
      </c>
      <c r="D63" s="37" t="s">
        <v>337</v>
      </c>
      <c r="E63" s="52" t="s">
        <v>10</v>
      </c>
      <c r="F63" s="106"/>
      <c r="G63" s="109" t="s">
        <v>14</v>
      </c>
      <c r="H63" s="121">
        <v>1</v>
      </c>
      <c r="I63" s="66" t="s">
        <v>542</v>
      </c>
      <c r="J63" s="101"/>
    </row>
    <row r="64" spans="1:10" ht="65.25" customHeight="1">
      <c r="A64" s="99">
        <f>SUM(A63+1)</f>
        <v>62</v>
      </c>
      <c r="B64" s="20" t="s">
        <v>497</v>
      </c>
      <c r="C64" s="25" t="s">
        <v>498</v>
      </c>
      <c r="D64" s="37" t="s">
        <v>499</v>
      </c>
      <c r="E64" s="52" t="s">
        <v>7</v>
      </c>
      <c r="F64" s="62"/>
      <c r="G64" s="148" t="s">
        <v>529</v>
      </c>
      <c r="H64" s="123"/>
      <c r="I64" s="66"/>
      <c r="J64" s="101"/>
    </row>
    <row r="65" spans="1:10" ht="24" customHeight="1">
      <c r="A65" s="99">
        <f t="shared" si="0"/>
        <v>63</v>
      </c>
      <c r="B65" s="20" t="s">
        <v>351</v>
      </c>
      <c r="C65" s="25" t="s">
        <v>500</v>
      </c>
      <c r="D65" s="37" t="s">
        <v>501</v>
      </c>
      <c r="E65" s="52" t="s">
        <v>7</v>
      </c>
      <c r="F65" s="62"/>
      <c r="G65" s="148" t="s">
        <v>529</v>
      </c>
      <c r="H65" s="123"/>
      <c r="I65" s="66"/>
      <c r="J65" s="101"/>
    </row>
    <row r="66" spans="1:10" ht="32.25" customHeight="1">
      <c r="A66" s="99">
        <f t="shared" si="0"/>
        <v>64</v>
      </c>
      <c r="B66" s="20" t="s">
        <v>16</v>
      </c>
      <c r="C66" s="25" t="s">
        <v>502</v>
      </c>
      <c r="D66" s="37" t="s">
        <v>503</v>
      </c>
      <c r="E66" s="52" t="s">
        <v>7</v>
      </c>
      <c r="F66" s="62"/>
      <c r="G66" s="149" t="s">
        <v>529</v>
      </c>
      <c r="H66" s="150">
        <v>0</v>
      </c>
      <c r="I66" s="66"/>
      <c r="J66" s="101"/>
    </row>
    <row r="67" spans="1:10" ht="36" customHeight="1">
      <c r="A67" s="99">
        <f t="shared" si="0"/>
        <v>65</v>
      </c>
      <c r="B67" s="20" t="s">
        <v>504</v>
      </c>
      <c r="C67" s="25" t="s">
        <v>505</v>
      </c>
      <c r="D67" s="37" t="s">
        <v>506</v>
      </c>
      <c r="E67" s="52" t="s">
        <v>7</v>
      </c>
      <c r="F67" s="62"/>
      <c r="G67" s="148" t="s">
        <v>529</v>
      </c>
      <c r="H67" s="123"/>
      <c r="I67" s="66"/>
      <c r="J67" s="101"/>
    </row>
    <row r="68" spans="1:10" ht="111.75" customHeight="1">
      <c r="A68" s="99">
        <f t="shared" ref="A68:A78" si="1">SUM(A67+1)</f>
        <v>66</v>
      </c>
      <c r="B68" s="20" t="s">
        <v>46</v>
      </c>
      <c r="C68" s="25" t="s">
        <v>507</v>
      </c>
      <c r="D68" s="37" t="s">
        <v>508</v>
      </c>
      <c r="E68" s="52" t="s">
        <v>7</v>
      </c>
      <c r="F68" s="62"/>
      <c r="G68" s="148" t="s">
        <v>529</v>
      </c>
      <c r="H68" s="123"/>
      <c r="I68" s="66"/>
      <c r="J68" s="101"/>
    </row>
    <row r="69" spans="1:10" ht="106.5" customHeight="1">
      <c r="A69" s="99">
        <f t="shared" si="1"/>
        <v>67</v>
      </c>
      <c r="B69" s="20" t="s">
        <v>364</v>
      </c>
      <c r="C69" s="25" t="s">
        <v>509</v>
      </c>
      <c r="D69" s="37" t="s">
        <v>510</v>
      </c>
      <c r="E69" s="52" t="s">
        <v>7</v>
      </c>
      <c r="F69" s="62"/>
      <c r="G69" s="148" t="s">
        <v>529</v>
      </c>
      <c r="H69" s="123"/>
      <c r="I69" s="66"/>
      <c r="J69" s="101"/>
    </row>
    <row r="70" spans="1:10" ht="64.5" customHeight="1">
      <c r="A70" s="99">
        <f t="shared" si="1"/>
        <v>68</v>
      </c>
      <c r="B70" s="20" t="s">
        <v>511</v>
      </c>
      <c r="C70" s="25" t="s">
        <v>512</v>
      </c>
      <c r="D70" s="37" t="s">
        <v>513</v>
      </c>
      <c r="E70" s="52" t="s">
        <v>10</v>
      </c>
      <c r="F70" s="62"/>
      <c r="G70" s="109" t="s">
        <v>529</v>
      </c>
      <c r="H70" s="121"/>
      <c r="I70" s="66"/>
      <c r="J70" s="101"/>
    </row>
    <row r="71" spans="1:10" ht="22.5" customHeight="1">
      <c r="A71" s="99">
        <f t="shared" si="1"/>
        <v>69</v>
      </c>
      <c r="B71" s="20" t="s">
        <v>61</v>
      </c>
      <c r="C71" s="25" t="s">
        <v>514</v>
      </c>
      <c r="D71" s="37" t="s">
        <v>115</v>
      </c>
      <c r="E71" s="52" t="s">
        <v>10</v>
      </c>
      <c r="F71" s="62"/>
      <c r="G71" s="109" t="s">
        <v>529</v>
      </c>
      <c r="H71" s="121"/>
      <c r="I71" s="66"/>
      <c r="J71" s="101"/>
    </row>
    <row r="72" spans="1:10" ht="48.75" customHeight="1">
      <c r="A72" s="99">
        <f t="shared" si="1"/>
        <v>70</v>
      </c>
      <c r="B72" s="20" t="s">
        <v>19</v>
      </c>
      <c r="C72" s="25" t="s">
        <v>515</v>
      </c>
      <c r="D72" s="37" t="s">
        <v>20</v>
      </c>
      <c r="E72" s="52" t="s">
        <v>10</v>
      </c>
      <c r="F72" s="62"/>
      <c r="G72" s="109" t="s">
        <v>529</v>
      </c>
      <c r="H72" s="121"/>
      <c r="I72" s="66"/>
      <c r="J72" s="101"/>
    </row>
    <row r="73" spans="1:10" ht="26.25" customHeight="1">
      <c r="A73" s="99">
        <f t="shared" si="1"/>
        <v>71</v>
      </c>
      <c r="B73" s="20" t="s">
        <v>516</v>
      </c>
      <c r="C73" s="25" t="s">
        <v>517</v>
      </c>
      <c r="D73" s="37" t="s">
        <v>74</v>
      </c>
      <c r="E73" s="52" t="s">
        <v>7</v>
      </c>
      <c r="F73" s="106"/>
      <c r="G73" s="109" t="s">
        <v>14</v>
      </c>
      <c r="H73" s="121">
        <v>1</v>
      </c>
      <c r="I73" s="66"/>
      <c r="J73" s="101"/>
    </row>
    <row r="74" spans="1:10" ht="21" customHeight="1">
      <c r="A74" s="99">
        <f t="shared" si="1"/>
        <v>72</v>
      </c>
      <c r="B74" s="20" t="s">
        <v>58</v>
      </c>
      <c r="C74" s="25" t="s">
        <v>518</v>
      </c>
      <c r="D74" s="37" t="s">
        <v>58</v>
      </c>
      <c r="E74" s="52" t="s">
        <v>7</v>
      </c>
      <c r="F74" s="62"/>
      <c r="G74" s="126" t="s">
        <v>14</v>
      </c>
      <c r="H74" s="58">
        <v>1</v>
      </c>
      <c r="I74" s="66"/>
      <c r="J74" s="101"/>
    </row>
    <row r="75" spans="1:10" ht="21" customHeight="1">
      <c r="A75" s="99">
        <f t="shared" si="1"/>
        <v>73</v>
      </c>
      <c r="B75" s="20" t="s">
        <v>322</v>
      </c>
      <c r="C75" s="25" t="s">
        <v>519</v>
      </c>
      <c r="D75" s="37" t="s">
        <v>88</v>
      </c>
      <c r="E75" s="52" t="s">
        <v>7</v>
      </c>
      <c r="F75" s="62"/>
      <c r="G75" s="109" t="s">
        <v>14</v>
      </c>
      <c r="H75" s="121">
        <v>1</v>
      </c>
      <c r="I75" s="66" t="s">
        <v>540</v>
      </c>
      <c r="J75" s="101"/>
    </row>
    <row r="76" spans="1:10" ht="48.75" customHeight="1">
      <c r="A76" s="99">
        <f t="shared" si="1"/>
        <v>74</v>
      </c>
      <c r="B76" s="20" t="s">
        <v>325</v>
      </c>
      <c r="C76" s="25" t="s">
        <v>520</v>
      </c>
      <c r="D76" s="52" t="s">
        <v>91</v>
      </c>
      <c r="E76" s="52" t="s">
        <v>7</v>
      </c>
      <c r="F76" s="106"/>
      <c r="G76" s="149" t="s">
        <v>14</v>
      </c>
      <c r="H76" s="150">
        <v>1</v>
      </c>
      <c r="I76" s="66"/>
      <c r="J76" s="101"/>
    </row>
    <row r="77" spans="1:10" ht="24.75" customHeight="1">
      <c r="A77" s="99">
        <f t="shared" si="1"/>
        <v>75</v>
      </c>
      <c r="B77" s="20" t="s">
        <v>327</v>
      </c>
      <c r="C77" s="25" t="s">
        <v>521</v>
      </c>
      <c r="D77" s="37" t="s">
        <v>522</v>
      </c>
      <c r="E77" s="52" t="s">
        <v>7</v>
      </c>
      <c r="F77" s="62"/>
      <c r="G77" s="149" t="s">
        <v>79</v>
      </c>
      <c r="H77" s="150">
        <v>1</v>
      </c>
      <c r="I77" s="66"/>
      <c r="J77" s="101"/>
    </row>
    <row r="78" spans="1:10" ht="21.75" customHeight="1">
      <c r="A78" s="102">
        <f t="shared" si="1"/>
        <v>76</v>
      </c>
      <c r="B78" s="103" t="s">
        <v>523</v>
      </c>
      <c r="C78" s="104" t="s">
        <v>524</v>
      </c>
      <c r="D78" s="117" t="s">
        <v>525</v>
      </c>
      <c r="E78" s="118" t="s">
        <v>10</v>
      </c>
      <c r="F78" s="119"/>
      <c r="G78" s="151" t="s">
        <v>79</v>
      </c>
      <c r="H78" s="150">
        <v>1</v>
      </c>
      <c r="I78" s="120" t="s">
        <v>627</v>
      </c>
      <c r="J78" s="105"/>
    </row>
    <row r="79" spans="1:10" ht="24" customHeight="1">
      <c r="A79" s="7"/>
      <c r="B79" s="5"/>
      <c r="C79" s="8"/>
      <c r="D79" s="5"/>
      <c r="E79" s="14"/>
    </row>
    <row r="80" spans="1:10" ht="14.25" customHeight="1">
      <c r="A80" s="7"/>
      <c r="B80" s="5"/>
      <c r="C80" s="8"/>
      <c r="D80" s="5"/>
      <c r="E80" s="124" t="s">
        <v>7</v>
      </c>
      <c r="F80" s="6">
        <f>COUNTIF(Table3[Status],E80)</f>
        <v>52</v>
      </c>
      <c r="G80" s="72" t="s">
        <v>14</v>
      </c>
      <c r="H80" s="158">
        <f>COUNTIF(Table3[Implementasi],G80)</f>
        <v>52</v>
      </c>
    </row>
    <row r="81" spans="1:8" ht="14.25" customHeight="1">
      <c r="A81" s="7"/>
      <c r="B81" s="5"/>
      <c r="C81" s="8"/>
      <c r="D81" s="5"/>
      <c r="E81" s="124" t="s">
        <v>10</v>
      </c>
      <c r="F81" s="6">
        <f>COUNTIF(Table3[Status],E81)</f>
        <v>24</v>
      </c>
      <c r="G81" s="72" t="s">
        <v>79</v>
      </c>
      <c r="H81" s="158">
        <f>COUNTIF(Table3[Implementasi],G81)</f>
        <v>13</v>
      </c>
    </row>
    <row r="82" spans="1:8" ht="14.25" customHeight="1">
      <c r="A82" s="7"/>
      <c r="B82" s="5"/>
      <c r="C82" s="8"/>
      <c r="D82" s="5"/>
      <c r="E82" s="14"/>
      <c r="G82" s="72" t="s">
        <v>11</v>
      </c>
      <c r="H82" s="158">
        <f>COUNTIF(Table3[Implementasi],G82)</f>
        <v>0</v>
      </c>
    </row>
    <row r="83" spans="1:8" ht="14.25" customHeight="1">
      <c r="A83" s="7"/>
      <c r="B83" s="5"/>
      <c r="C83" s="8"/>
      <c r="D83" s="5"/>
      <c r="E83" s="14"/>
      <c r="G83" s="72" t="s">
        <v>529</v>
      </c>
      <c r="H83" s="158">
        <f>COUNTIF(Table3[Implementasi],G83)</f>
        <v>11</v>
      </c>
    </row>
    <row r="84" spans="1:8" ht="14.25" customHeight="1">
      <c r="A84" s="7"/>
      <c r="B84" s="5"/>
      <c r="C84" s="8"/>
      <c r="D84" s="5"/>
      <c r="E84" s="14"/>
      <c r="G84" s="156" t="s">
        <v>527</v>
      </c>
      <c r="H84" s="157">
        <f>AVERAGE(Table3[Score])</f>
        <v>0.96875</v>
      </c>
    </row>
    <row r="85" spans="1:8" ht="14.25" customHeight="1">
      <c r="A85" s="7"/>
      <c r="B85" s="5"/>
      <c r="C85" s="8"/>
      <c r="D85" s="5"/>
      <c r="E85" s="14"/>
    </row>
    <row r="86" spans="1:8" ht="14.25" customHeight="1">
      <c r="A86" s="7"/>
      <c r="B86" s="5"/>
      <c r="C86" s="8"/>
      <c r="D86" s="5"/>
      <c r="E86" s="14"/>
    </row>
    <row r="87" spans="1:8" ht="14.25" customHeight="1">
      <c r="A87" s="7"/>
      <c r="B87" s="5"/>
      <c r="C87" s="8"/>
      <c r="D87" s="5"/>
      <c r="E87" s="14"/>
    </row>
    <row r="88" spans="1:8" ht="14.25" customHeight="1">
      <c r="A88" s="7"/>
      <c r="B88" s="5"/>
      <c r="C88" s="8"/>
      <c r="D88" s="5"/>
      <c r="E88" s="14"/>
    </row>
    <row r="89" spans="1:8" ht="14.25" customHeight="1">
      <c r="A89" s="7"/>
      <c r="B89" s="5"/>
      <c r="C89" s="8"/>
      <c r="D89" s="5"/>
      <c r="E89" s="14"/>
    </row>
    <row r="90" spans="1:8" ht="14.25" customHeight="1">
      <c r="A90" s="7"/>
      <c r="B90" s="5"/>
      <c r="C90" s="8"/>
      <c r="D90" s="5"/>
      <c r="E90" s="14"/>
    </row>
    <row r="91" spans="1:8" ht="14.25" customHeight="1">
      <c r="A91" s="7"/>
      <c r="B91" s="5"/>
      <c r="C91" s="8"/>
      <c r="D91" s="5"/>
      <c r="E91" s="14"/>
    </row>
    <row r="92" spans="1:8" ht="14.25" customHeight="1">
      <c r="A92" s="7"/>
      <c r="B92" s="5"/>
      <c r="C92" s="8"/>
      <c r="D92" s="5"/>
      <c r="E92" s="14"/>
    </row>
    <row r="93" spans="1:8" ht="14.25" customHeight="1">
      <c r="A93" s="7"/>
      <c r="B93" s="5"/>
      <c r="C93" s="8"/>
      <c r="D93" s="5"/>
      <c r="E93" s="14"/>
    </row>
    <row r="94" spans="1:8" ht="14.25" customHeight="1">
      <c r="A94" s="7"/>
      <c r="B94" s="5"/>
      <c r="C94" s="8"/>
      <c r="D94" s="5"/>
      <c r="E94" s="14"/>
    </row>
    <row r="95" spans="1:8" ht="14.25" customHeight="1">
      <c r="A95" s="7"/>
      <c r="B95" s="5"/>
      <c r="C95" s="8"/>
      <c r="D95" s="5"/>
      <c r="E95" s="14"/>
    </row>
    <row r="96" spans="1:8" ht="14.25" customHeight="1">
      <c r="A96" s="7"/>
      <c r="B96" s="5"/>
      <c r="C96" s="8"/>
      <c r="D96" s="5"/>
      <c r="E96" s="14"/>
    </row>
    <row r="97" spans="1:5" ht="14.25" customHeight="1">
      <c r="A97" s="7"/>
      <c r="B97" s="5"/>
      <c r="C97" s="8"/>
      <c r="D97" s="5"/>
      <c r="E97" s="14"/>
    </row>
    <row r="98" spans="1:5" ht="14.25" customHeight="1">
      <c r="A98" s="7"/>
      <c r="B98" s="5"/>
      <c r="C98" s="8"/>
      <c r="D98" s="5"/>
      <c r="E98" s="14"/>
    </row>
    <row r="99" spans="1:5" ht="14.25" customHeight="1">
      <c r="A99" s="7"/>
      <c r="B99" s="5"/>
      <c r="C99" s="8"/>
      <c r="D99" s="5"/>
      <c r="E99" s="14"/>
    </row>
    <row r="100" spans="1:5" ht="14.25" customHeight="1">
      <c r="A100" s="7"/>
      <c r="B100" s="5"/>
      <c r="C100" s="8"/>
      <c r="D100" s="5"/>
      <c r="E100" s="14"/>
    </row>
    <row r="101" spans="1:5" ht="14.25" customHeight="1">
      <c r="A101" s="7"/>
      <c r="B101" s="5"/>
      <c r="C101" s="8"/>
      <c r="D101" s="5"/>
      <c r="E101" s="14"/>
    </row>
    <row r="102" spans="1:5" ht="14.25" customHeight="1">
      <c r="A102" s="7"/>
      <c r="B102" s="5"/>
      <c r="C102" s="8"/>
      <c r="D102" s="5"/>
      <c r="E102" s="14"/>
    </row>
    <row r="103" spans="1:5" ht="14.25" customHeight="1">
      <c r="A103" s="7"/>
      <c r="B103" s="5"/>
      <c r="C103" s="8"/>
      <c r="D103" s="5"/>
      <c r="E103" s="14"/>
    </row>
    <row r="104" spans="1:5" ht="14.25" customHeight="1">
      <c r="A104" s="7"/>
      <c r="B104" s="5"/>
      <c r="C104" s="8"/>
      <c r="D104" s="5"/>
      <c r="E104" s="14"/>
    </row>
    <row r="105" spans="1:5" ht="14.25" customHeight="1">
      <c r="A105" s="7"/>
      <c r="B105" s="5"/>
      <c r="C105" s="8"/>
      <c r="D105" s="5"/>
      <c r="E105" s="14"/>
    </row>
    <row r="106" spans="1:5" ht="14.25" customHeight="1">
      <c r="A106" s="7"/>
      <c r="B106" s="5"/>
      <c r="C106" s="8"/>
      <c r="D106" s="5"/>
      <c r="E106" s="14"/>
    </row>
    <row r="107" spans="1:5" ht="14.25" customHeight="1">
      <c r="A107" s="7"/>
      <c r="B107" s="5"/>
      <c r="C107" s="8"/>
      <c r="D107" s="5"/>
      <c r="E107" s="14"/>
    </row>
    <row r="108" spans="1:5" ht="14.25" customHeight="1">
      <c r="A108" s="7"/>
      <c r="B108" s="5"/>
      <c r="C108" s="8"/>
      <c r="D108" s="5"/>
      <c r="E108" s="14"/>
    </row>
    <row r="109" spans="1:5" ht="14.25" customHeight="1">
      <c r="A109" s="7"/>
      <c r="B109" s="5"/>
      <c r="C109" s="8"/>
      <c r="D109" s="5"/>
      <c r="E109" s="14"/>
    </row>
    <row r="110" spans="1:5" ht="14.25" customHeight="1">
      <c r="A110" s="7"/>
      <c r="B110" s="5"/>
      <c r="C110" s="8"/>
      <c r="D110" s="5"/>
      <c r="E110" s="14"/>
    </row>
    <row r="111" spans="1:5" ht="14.25" customHeight="1">
      <c r="A111" s="7"/>
      <c r="B111" s="5"/>
      <c r="C111" s="8"/>
      <c r="D111" s="5"/>
      <c r="E111" s="14"/>
    </row>
    <row r="112" spans="1:5" ht="14.25" customHeight="1">
      <c r="A112" s="7"/>
      <c r="B112" s="5"/>
      <c r="C112" s="8"/>
      <c r="D112" s="5"/>
      <c r="E112" s="14"/>
    </row>
    <row r="113" spans="1:5" ht="14.25" customHeight="1">
      <c r="A113" s="7"/>
      <c r="B113" s="5"/>
      <c r="C113" s="8"/>
      <c r="D113" s="5"/>
      <c r="E113" s="14"/>
    </row>
    <row r="114" spans="1:5" ht="14.25" customHeight="1">
      <c r="A114" s="7"/>
      <c r="B114" s="5"/>
      <c r="C114" s="8"/>
      <c r="D114" s="5"/>
      <c r="E114" s="14"/>
    </row>
    <row r="115" spans="1:5" ht="14.25" customHeight="1">
      <c r="A115" s="7"/>
      <c r="B115" s="5"/>
      <c r="C115" s="8"/>
      <c r="D115" s="5"/>
      <c r="E115" s="14"/>
    </row>
    <row r="116" spans="1:5" ht="14.25" customHeight="1">
      <c r="A116" s="7"/>
      <c r="B116" s="5"/>
      <c r="C116" s="8"/>
      <c r="D116" s="5"/>
      <c r="E116" s="14"/>
    </row>
    <row r="117" spans="1:5" ht="14.25" customHeight="1">
      <c r="A117" s="7"/>
      <c r="B117" s="5"/>
      <c r="C117" s="8"/>
      <c r="D117" s="5"/>
      <c r="E117" s="14"/>
    </row>
    <row r="118" spans="1:5" ht="14.25" customHeight="1">
      <c r="A118" s="7"/>
      <c r="B118" s="5"/>
      <c r="C118" s="8"/>
      <c r="D118" s="5"/>
      <c r="E118" s="14"/>
    </row>
    <row r="119" spans="1:5" ht="14.25" customHeight="1">
      <c r="A119" s="7"/>
      <c r="B119" s="5"/>
      <c r="C119" s="8"/>
      <c r="D119" s="5"/>
      <c r="E119" s="14"/>
    </row>
    <row r="120" spans="1:5" ht="14.25" customHeight="1">
      <c r="A120" s="7"/>
      <c r="B120" s="5"/>
      <c r="C120" s="8"/>
      <c r="D120" s="5"/>
      <c r="E120" s="14"/>
    </row>
    <row r="121" spans="1:5" ht="14.25" customHeight="1">
      <c r="A121" s="7"/>
      <c r="B121" s="5"/>
      <c r="C121" s="8"/>
      <c r="D121" s="5"/>
      <c r="E121" s="14"/>
    </row>
    <row r="122" spans="1:5" ht="14.25" customHeight="1">
      <c r="A122" s="7"/>
      <c r="B122" s="5"/>
      <c r="C122" s="8"/>
      <c r="D122" s="5"/>
      <c r="E122" s="14"/>
    </row>
    <row r="123" spans="1:5" ht="14.25" customHeight="1">
      <c r="A123" s="7"/>
      <c r="B123" s="5"/>
      <c r="C123" s="8"/>
      <c r="D123" s="5"/>
      <c r="E123" s="14"/>
    </row>
    <row r="124" spans="1:5" ht="14.25" customHeight="1">
      <c r="A124" s="7"/>
      <c r="B124" s="5"/>
      <c r="C124" s="8"/>
      <c r="D124" s="5"/>
      <c r="E124" s="14"/>
    </row>
    <row r="125" spans="1:5" ht="14.25" customHeight="1">
      <c r="A125" s="7"/>
      <c r="B125" s="5"/>
      <c r="C125" s="8"/>
      <c r="D125" s="5"/>
      <c r="E125" s="14"/>
    </row>
    <row r="126" spans="1:5" ht="14.25" customHeight="1">
      <c r="A126" s="7"/>
      <c r="B126" s="5"/>
      <c r="C126" s="8"/>
      <c r="D126" s="5"/>
      <c r="E126" s="14"/>
    </row>
    <row r="127" spans="1:5" ht="14.25" customHeight="1">
      <c r="A127" s="7"/>
      <c r="B127" s="5"/>
      <c r="C127" s="8"/>
      <c r="D127" s="5"/>
      <c r="E127" s="14"/>
    </row>
    <row r="128" spans="1:5" ht="14.25" customHeight="1">
      <c r="A128" s="7"/>
      <c r="B128" s="5"/>
      <c r="C128" s="8"/>
      <c r="D128" s="5"/>
      <c r="E128" s="14"/>
    </row>
    <row r="129" spans="1:5" ht="14.25" customHeight="1">
      <c r="A129" s="7"/>
      <c r="B129" s="5"/>
      <c r="C129" s="8"/>
      <c r="D129" s="5"/>
      <c r="E129" s="14"/>
    </row>
    <row r="130" spans="1:5" ht="14.25" customHeight="1">
      <c r="A130" s="7"/>
      <c r="B130" s="5"/>
      <c r="C130" s="8"/>
      <c r="D130" s="5"/>
      <c r="E130" s="14"/>
    </row>
    <row r="131" spans="1:5" ht="14.25" customHeight="1">
      <c r="A131" s="7"/>
      <c r="B131" s="5"/>
      <c r="C131" s="8"/>
      <c r="D131" s="5"/>
      <c r="E131" s="14"/>
    </row>
    <row r="132" spans="1:5" ht="14.25" customHeight="1">
      <c r="A132" s="7"/>
      <c r="B132" s="5"/>
      <c r="C132" s="8"/>
      <c r="D132" s="5"/>
      <c r="E132" s="14"/>
    </row>
    <row r="133" spans="1:5" ht="14.25" customHeight="1">
      <c r="A133" s="7"/>
      <c r="B133" s="5"/>
      <c r="C133" s="8"/>
      <c r="D133" s="5"/>
      <c r="E133" s="14"/>
    </row>
    <row r="134" spans="1:5" ht="14.25" customHeight="1">
      <c r="A134" s="7"/>
      <c r="B134" s="5"/>
      <c r="C134" s="8"/>
      <c r="D134" s="5"/>
      <c r="E134" s="14"/>
    </row>
    <row r="135" spans="1:5" ht="14.25" customHeight="1">
      <c r="A135" s="7"/>
      <c r="B135" s="5"/>
      <c r="C135" s="8"/>
      <c r="D135" s="5"/>
      <c r="E135" s="14"/>
    </row>
    <row r="136" spans="1:5" ht="14.25" customHeight="1">
      <c r="A136" s="7"/>
      <c r="B136" s="5"/>
      <c r="C136" s="8"/>
      <c r="D136" s="5"/>
      <c r="E136" s="14"/>
    </row>
    <row r="137" spans="1:5" ht="14.25" customHeight="1">
      <c r="A137" s="7"/>
      <c r="B137" s="5"/>
      <c r="C137" s="8"/>
      <c r="D137" s="5"/>
      <c r="E137" s="14"/>
    </row>
    <row r="138" spans="1:5" ht="14.25" customHeight="1">
      <c r="A138" s="7"/>
      <c r="B138" s="5"/>
      <c r="C138" s="8"/>
      <c r="D138" s="5"/>
      <c r="E138" s="14"/>
    </row>
    <row r="139" spans="1:5" ht="14.25" customHeight="1">
      <c r="A139" s="7"/>
      <c r="B139" s="5"/>
      <c r="C139" s="8"/>
      <c r="D139" s="5"/>
      <c r="E139" s="14"/>
    </row>
    <row r="140" spans="1:5" ht="14.25" customHeight="1">
      <c r="A140" s="7"/>
      <c r="B140" s="5"/>
      <c r="C140" s="8"/>
      <c r="D140" s="5"/>
      <c r="E140" s="14"/>
    </row>
    <row r="141" spans="1:5" ht="14.25" customHeight="1">
      <c r="A141" s="7"/>
      <c r="B141" s="5"/>
      <c r="C141" s="8"/>
      <c r="D141" s="5"/>
      <c r="E141" s="14"/>
    </row>
    <row r="142" spans="1:5" ht="14.25" customHeight="1">
      <c r="A142" s="7"/>
      <c r="B142" s="5"/>
      <c r="C142" s="8"/>
      <c r="D142" s="5"/>
      <c r="E142" s="14"/>
    </row>
    <row r="143" spans="1:5" ht="14.25" customHeight="1">
      <c r="A143" s="7"/>
      <c r="B143" s="5"/>
      <c r="C143" s="8"/>
      <c r="D143" s="5"/>
      <c r="E143" s="14"/>
    </row>
    <row r="144" spans="1:5" ht="14.25" customHeight="1">
      <c r="A144" s="7"/>
      <c r="B144" s="5"/>
      <c r="C144" s="8"/>
      <c r="D144" s="5"/>
      <c r="E144" s="14"/>
    </row>
    <row r="145" spans="1:5" ht="14.25" customHeight="1">
      <c r="A145" s="7"/>
      <c r="B145" s="5"/>
      <c r="C145" s="8"/>
      <c r="D145" s="5"/>
      <c r="E145" s="14"/>
    </row>
    <row r="146" spans="1:5" ht="14.25" customHeight="1">
      <c r="A146" s="7"/>
      <c r="B146" s="5"/>
      <c r="C146" s="8"/>
      <c r="D146" s="5"/>
      <c r="E146" s="14"/>
    </row>
    <row r="147" spans="1:5" ht="14.25" customHeight="1">
      <c r="A147" s="7"/>
      <c r="B147" s="5"/>
      <c r="C147" s="8"/>
      <c r="D147" s="5"/>
      <c r="E147" s="14"/>
    </row>
    <row r="148" spans="1:5" ht="14.25" customHeight="1">
      <c r="A148" s="7"/>
      <c r="B148" s="5"/>
      <c r="C148" s="8"/>
      <c r="D148" s="5"/>
      <c r="E148" s="14"/>
    </row>
    <row r="149" spans="1:5" ht="14.25" customHeight="1">
      <c r="A149" s="7"/>
      <c r="B149" s="5"/>
      <c r="C149" s="8"/>
      <c r="D149" s="5"/>
      <c r="E149" s="14"/>
    </row>
    <row r="150" spans="1:5" ht="14.25" customHeight="1">
      <c r="A150" s="7"/>
      <c r="B150" s="5"/>
      <c r="C150" s="8"/>
      <c r="D150" s="5"/>
      <c r="E150" s="14"/>
    </row>
    <row r="151" spans="1:5" ht="14.25" customHeight="1">
      <c r="A151" s="7"/>
      <c r="B151" s="5"/>
      <c r="C151" s="8"/>
      <c r="D151" s="5"/>
      <c r="E151" s="14"/>
    </row>
    <row r="152" spans="1:5" ht="14.25" customHeight="1">
      <c r="A152" s="7"/>
      <c r="B152" s="5"/>
      <c r="C152" s="8"/>
      <c r="D152" s="5"/>
      <c r="E152" s="14"/>
    </row>
    <row r="153" spans="1:5" ht="14.25" customHeight="1">
      <c r="A153" s="7"/>
      <c r="B153" s="5"/>
      <c r="C153" s="8"/>
      <c r="D153" s="5"/>
      <c r="E153" s="14"/>
    </row>
    <row r="154" spans="1:5" ht="14.25" customHeight="1">
      <c r="A154" s="7"/>
      <c r="B154" s="5"/>
      <c r="C154" s="8"/>
      <c r="D154" s="5"/>
      <c r="E154" s="14"/>
    </row>
    <row r="155" spans="1:5" ht="14.25" customHeight="1">
      <c r="A155" s="7"/>
      <c r="B155" s="5"/>
      <c r="C155" s="8"/>
      <c r="D155" s="5"/>
      <c r="E155" s="14"/>
    </row>
    <row r="156" spans="1:5" ht="14.25" customHeight="1">
      <c r="A156" s="7"/>
      <c r="B156" s="5"/>
      <c r="C156" s="8"/>
      <c r="D156" s="5"/>
      <c r="E156" s="14"/>
    </row>
    <row r="157" spans="1:5" ht="14.25" customHeight="1">
      <c r="A157" s="7"/>
      <c r="B157" s="5"/>
      <c r="C157" s="8"/>
      <c r="D157" s="5"/>
      <c r="E157" s="14"/>
    </row>
    <row r="158" spans="1:5" ht="14.25" customHeight="1">
      <c r="A158" s="7"/>
      <c r="B158" s="5"/>
      <c r="C158" s="8"/>
      <c r="D158" s="5"/>
      <c r="E158" s="14"/>
    </row>
    <row r="159" spans="1:5" ht="14.25" customHeight="1">
      <c r="A159" s="7"/>
      <c r="B159" s="5"/>
      <c r="C159" s="8"/>
      <c r="D159" s="5"/>
      <c r="E159" s="14"/>
    </row>
    <row r="160" spans="1:5" ht="14.25" customHeight="1">
      <c r="A160" s="7"/>
      <c r="B160" s="5"/>
      <c r="C160" s="8"/>
      <c r="D160" s="5"/>
      <c r="E160" s="14"/>
    </row>
    <row r="161" spans="1:5" ht="14.25" customHeight="1">
      <c r="A161" s="7"/>
      <c r="B161" s="5"/>
      <c r="C161" s="8"/>
      <c r="D161" s="5"/>
      <c r="E161" s="14"/>
    </row>
    <row r="162" spans="1:5" ht="14.25" customHeight="1">
      <c r="A162" s="7"/>
      <c r="B162" s="5"/>
      <c r="C162" s="8"/>
      <c r="D162" s="5"/>
      <c r="E162" s="14"/>
    </row>
    <row r="163" spans="1:5" ht="14.25" customHeight="1">
      <c r="A163" s="7"/>
      <c r="B163" s="5"/>
      <c r="C163" s="8"/>
      <c r="D163" s="5"/>
      <c r="E163" s="14"/>
    </row>
    <row r="164" spans="1:5" ht="14.25" customHeight="1">
      <c r="A164" s="7"/>
      <c r="B164" s="5"/>
      <c r="C164" s="8"/>
      <c r="D164" s="5"/>
      <c r="E164" s="14"/>
    </row>
    <row r="165" spans="1:5" ht="14.25" customHeight="1">
      <c r="A165" s="7"/>
      <c r="B165" s="5"/>
      <c r="C165" s="8"/>
      <c r="D165" s="5"/>
      <c r="E165" s="14"/>
    </row>
    <row r="166" spans="1:5" ht="14.25" customHeight="1">
      <c r="A166" s="7"/>
      <c r="B166" s="5"/>
      <c r="C166" s="8"/>
      <c r="D166" s="5"/>
      <c r="E166" s="14"/>
    </row>
    <row r="167" spans="1:5" ht="14.25" customHeight="1">
      <c r="A167" s="7"/>
      <c r="B167" s="5"/>
      <c r="C167" s="8"/>
      <c r="D167" s="5"/>
      <c r="E167" s="14"/>
    </row>
    <row r="168" spans="1:5" ht="14.25" customHeight="1">
      <c r="A168" s="7"/>
      <c r="B168" s="5"/>
      <c r="C168" s="8"/>
      <c r="D168" s="5"/>
      <c r="E168" s="14"/>
    </row>
    <row r="169" spans="1:5" ht="14.25" customHeight="1">
      <c r="A169" s="7"/>
      <c r="B169" s="5"/>
      <c r="C169" s="8"/>
      <c r="D169" s="5"/>
      <c r="E169" s="14"/>
    </row>
    <row r="170" spans="1:5" ht="14.25" customHeight="1">
      <c r="A170" s="7"/>
      <c r="B170" s="5"/>
      <c r="C170" s="8"/>
      <c r="D170" s="5"/>
      <c r="E170" s="14"/>
    </row>
    <row r="171" spans="1:5" ht="14.25" customHeight="1">
      <c r="A171" s="7"/>
      <c r="B171" s="5"/>
      <c r="C171" s="8"/>
      <c r="D171" s="5"/>
      <c r="E171" s="14"/>
    </row>
    <row r="172" spans="1:5" ht="14.25" customHeight="1">
      <c r="A172" s="7"/>
      <c r="B172" s="5"/>
      <c r="C172" s="8"/>
      <c r="D172" s="5"/>
      <c r="E172" s="14"/>
    </row>
    <row r="173" spans="1:5" ht="14.25" customHeight="1">
      <c r="A173" s="7"/>
      <c r="B173" s="5"/>
      <c r="C173" s="8"/>
      <c r="D173" s="5"/>
      <c r="E173" s="14"/>
    </row>
    <row r="174" spans="1:5" ht="14.25" customHeight="1">
      <c r="A174" s="7"/>
      <c r="B174" s="5"/>
      <c r="C174" s="8"/>
      <c r="D174" s="5"/>
      <c r="E174" s="14"/>
    </row>
    <row r="175" spans="1:5" ht="14.25" customHeight="1">
      <c r="A175" s="7"/>
      <c r="B175" s="5"/>
      <c r="C175" s="8"/>
      <c r="D175" s="5"/>
      <c r="E175" s="14"/>
    </row>
    <row r="176" spans="1:5" ht="14.25" customHeight="1">
      <c r="A176" s="7"/>
      <c r="B176" s="5"/>
      <c r="C176" s="8"/>
      <c r="D176" s="5"/>
      <c r="E176" s="14"/>
    </row>
    <row r="177" spans="1:5" ht="14.25" customHeight="1">
      <c r="A177" s="7"/>
      <c r="B177" s="5"/>
      <c r="C177" s="8"/>
      <c r="D177" s="5"/>
      <c r="E177" s="14"/>
    </row>
    <row r="178" spans="1:5" ht="14.25" customHeight="1">
      <c r="A178" s="7"/>
      <c r="B178" s="5"/>
      <c r="C178" s="8"/>
      <c r="D178" s="5"/>
      <c r="E178" s="14"/>
    </row>
    <row r="179" spans="1:5" ht="14.25" customHeight="1">
      <c r="A179" s="7"/>
      <c r="B179" s="5"/>
      <c r="C179" s="8"/>
      <c r="D179" s="5"/>
      <c r="E179" s="14"/>
    </row>
    <row r="180" spans="1:5" ht="14.25" customHeight="1">
      <c r="A180" s="7"/>
      <c r="B180" s="5"/>
      <c r="C180" s="8"/>
      <c r="D180" s="5"/>
      <c r="E180" s="14"/>
    </row>
    <row r="181" spans="1:5" ht="14.25" customHeight="1">
      <c r="A181" s="7"/>
      <c r="B181" s="5"/>
      <c r="C181" s="8"/>
      <c r="D181" s="5"/>
      <c r="E181" s="14"/>
    </row>
    <row r="182" spans="1:5" ht="14.25" customHeight="1">
      <c r="A182" s="7"/>
      <c r="B182" s="5"/>
      <c r="C182" s="8"/>
      <c r="D182" s="5"/>
      <c r="E182" s="14"/>
    </row>
    <row r="183" spans="1:5" ht="14.25" customHeight="1">
      <c r="A183" s="7"/>
      <c r="B183" s="5"/>
      <c r="C183" s="8"/>
      <c r="D183" s="5"/>
      <c r="E183" s="14"/>
    </row>
    <row r="184" spans="1:5" ht="14.25" customHeight="1">
      <c r="A184" s="7"/>
      <c r="B184" s="5"/>
      <c r="C184" s="8"/>
      <c r="D184" s="5"/>
      <c r="E184" s="14"/>
    </row>
    <row r="185" spans="1:5" ht="14.25" customHeight="1">
      <c r="A185" s="7"/>
      <c r="B185" s="5"/>
      <c r="C185" s="8"/>
      <c r="D185" s="5"/>
      <c r="E185" s="14"/>
    </row>
    <row r="186" spans="1:5" ht="14.25" customHeight="1">
      <c r="A186" s="7"/>
      <c r="B186" s="5"/>
      <c r="C186" s="8"/>
      <c r="D186" s="5"/>
      <c r="E186" s="14"/>
    </row>
    <row r="187" spans="1:5" ht="14.25" customHeight="1">
      <c r="A187" s="7"/>
      <c r="B187" s="5"/>
      <c r="C187" s="8"/>
      <c r="D187" s="5"/>
      <c r="E187" s="14"/>
    </row>
    <row r="188" spans="1:5" ht="14.25" customHeight="1">
      <c r="A188" s="7"/>
      <c r="B188" s="5"/>
      <c r="C188" s="8"/>
      <c r="D188" s="5"/>
      <c r="E188" s="14"/>
    </row>
    <row r="189" spans="1:5" ht="14.25" customHeight="1">
      <c r="A189" s="7"/>
      <c r="B189" s="5"/>
      <c r="C189" s="8"/>
      <c r="D189" s="5"/>
      <c r="E189" s="14"/>
    </row>
    <row r="190" spans="1:5" ht="14.25" customHeight="1">
      <c r="A190" s="7"/>
      <c r="B190" s="5"/>
      <c r="C190" s="8"/>
      <c r="D190" s="5"/>
      <c r="E190" s="14"/>
    </row>
    <row r="191" spans="1:5" ht="14.25" customHeight="1">
      <c r="A191" s="7"/>
      <c r="B191" s="5"/>
      <c r="C191" s="8"/>
      <c r="D191" s="5"/>
      <c r="E191" s="14"/>
    </row>
    <row r="192" spans="1:5" ht="14.25" customHeight="1">
      <c r="A192" s="7"/>
      <c r="B192" s="5"/>
      <c r="C192" s="8"/>
      <c r="D192" s="5"/>
      <c r="E192" s="14"/>
    </row>
    <row r="193" spans="1:5" ht="14.25" customHeight="1">
      <c r="A193" s="7"/>
      <c r="B193" s="5"/>
      <c r="C193" s="8"/>
      <c r="D193" s="5"/>
      <c r="E193" s="14"/>
    </row>
    <row r="194" spans="1:5" ht="14.25" customHeight="1">
      <c r="A194" s="7"/>
      <c r="B194" s="5"/>
      <c r="C194" s="8"/>
      <c r="D194" s="5"/>
      <c r="E194" s="14"/>
    </row>
    <row r="195" spans="1:5" ht="14.25" customHeight="1">
      <c r="A195" s="7"/>
      <c r="B195" s="5"/>
      <c r="C195" s="8"/>
      <c r="D195" s="5"/>
      <c r="E195" s="14"/>
    </row>
    <row r="196" spans="1:5" ht="14.25" customHeight="1">
      <c r="A196" s="7"/>
      <c r="B196" s="5"/>
      <c r="C196" s="8"/>
      <c r="D196" s="5"/>
      <c r="E196" s="14"/>
    </row>
    <row r="197" spans="1:5" ht="14.25" customHeight="1">
      <c r="A197" s="7"/>
      <c r="B197" s="5"/>
      <c r="C197" s="8"/>
      <c r="D197" s="5"/>
      <c r="E197" s="14"/>
    </row>
    <row r="198" spans="1:5" ht="14.25" customHeight="1">
      <c r="A198" s="7"/>
      <c r="B198" s="5"/>
      <c r="C198" s="8"/>
      <c r="D198" s="5"/>
      <c r="E198" s="14"/>
    </row>
    <row r="199" spans="1:5" ht="14.25" customHeight="1">
      <c r="A199" s="7"/>
      <c r="B199" s="5"/>
      <c r="C199" s="8"/>
      <c r="D199" s="5"/>
      <c r="E199" s="14"/>
    </row>
    <row r="200" spans="1:5" ht="14.25" customHeight="1">
      <c r="A200" s="7"/>
      <c r="B200" s="5"/>
      <c r="C200" s="8"/>
      <c r="D200" s="5"/>
      <c r="E200" s="14"/>
    </row>
    <row r="201" spans="1:5" ht="14.25" customHeight="1">
      <c r="A201" s="7"/>
      <c r="B201" s="5"/>
      <c r="C201" s="8"/>
      <c r="D201" s="5"/>
      <c r="E201" s="14"/>
    </row>
    <row r="202" spans="1:5" ht="14.25" customHeight="1">
      <c r="A202" s="7"/>
      <c r="B202" s="5"/>
      <c r="C202" s="8"/>
      <c r="D202" s="5"/>
      <c r="E202" s="14"/>
    </row>
    <row r="203" spans="1:5" ht="14.25" customHeight="1">
      <c r="A203" s="7"/>
      <c r="B203" s="5"/>
      <c r="C203" s="8"/>
      <c r="D203" s="5"/>
      <c r="E203" s="14"/>
    </row>
    <row r="204" spans="1:5" ht="14.25" customHeight="1">
      <c r="A204" s="7"/>
      <c r="B204" s="5"/>
      <c r="C204" s="8"/>
      <c r="D204" s="5"/>
      <c r="E204" s="14"/>
    </row>
    <row r="205" spans="1:5" ht="14.25" customHeight="1">
      <c r="A205" s="7"/>
      <c r="B205" s="5"/>
      <c r="C205" s="8"/>
      <c r="D205" s="5"/>
      <c r="E205" s="14"/>
    </row>
    <row r="206" spans="1:5" ht="14.25" customHeight="1">
      <c r="A206" s="7"/>
      <c r="B206" s="5"/>
      <c r="C206" s="8"/>
      <c r="D206" s="5"/>
      <c r="E206" s="14"/>
    </row>
    <row r="207" spans="1:5" ht="14.25" customHeight="1">
      <c r="A207" s="7"/>
      <c r="B207" s="5"/>
      <c r="C207" s="8"/>
      <c r="D207" s="5"/>
      <c r="E207" s="14"/>
    </row>
    <row r="208" spans="1:5" ht="14.25" customHeight="1">
      <c r="A208" s="7"/>
      <c r="B208" s="5"/>
      <c r="C208" s="8"/>
      <c r="D208" s="5"/>
      <c r="E208" s="14"/>
    </row>
    <row r="209" spans="1:5" ht="14.25" customHeight="1">
      <c r="A209" s="7"/>
      <c r="B209" s="5"/>
      <c r="C209" s="8"/>
      <c r="D209" s="5"/>
      <c r="E209" s="14"/>
    </row>
    <row r="210" spans="1:5" ht="14.25" customHeight="1">
      <c r="A210" s="7"/>
      <c r="B210" s="5"/>
      <c r="C210" s="8"/>
      <c r="D210" s="5"/>
      <c r="E210" s="14"/>
    </row>
    <row r="211" spans="1:5" ht="14.25" customHeight="1">
      <c r="A211" s="7"/>
      <c r="B211" s="5"/>
      <c r="C211" s="8"/>
      <c r="D211" s="5"/>
      <c r="E211" s="14"/>
    </row>
    <row r="212" spans="1:5" ht="14.25" customHeight="1">
      <c r="A212" s="7"/>
      <c r="B212" s="5"/>
      <c r="C212" s="8"/>
      <c r="D212" s="5"/>
      <c r="E212" s="14"/>
    </row>
    <row r="213" spans="1:5" ht="14.25" customHeight="1">
      <c r="A213" s="7"/>
      <c r="B213" s="5"/>
      <c r="C213" s="8"/>
      <c r="D213" s="5"/>
      <c r="E213" s="14"/>
    </row>
    <row r="214" spans="1:5" ht="14.25" customHeight="1">
      <c r="A214" s="7"/>
      <c r="B214" s="5"/>
      <c r="C214" s="8"/>
      <c r="D214" s="5"/>
      <c r="E214" s="14"/>
    </row>
    <row r="215" spans="1:5" ht="14.25" customHeight="1">
      <c r="A215" s="7"/>
      <c r="B215" s="5"/>
      <c r="C215" s="8"/>
      <c r="D215" s="5"/>
      <c r="E215" s="14"/>
    </row>
    <row r="216" spans="1:5" ht="14.25" customHeight="1">
      <c r="A216" s="7"/>
      <c r="B216" s="5"/>
      <c r="C216" s="8"/>
      <c r="D216" s="5"/>
      <c r="E216" s="14"/>
    </row>
    <row r="217" spans="1:5" ht="14.25" customHeight="1">
      <c r="A217" s="7"/>
      <c r="B217" s="5"/>
      <c r="C217" s="8"/>
      <c r="D217" s="5"/>
      <c r="E217" s="14"/>
    </row>
    <row r="218" spans="1:5" ht="14.25" customHeight="1">
      <c r="A218" s="7"/>
      <c r="B218" s="5"/>
      <c r="C218" s="8"/>
      <c r="D218" s="5"/>
      <c r="E218" s="14"/>
    </row>
    <row r="219" spans="1:5" ht="14.25" customHeight="1">
      <c r="A219" s="7"/>
      <c r="B219" s="5"/>
      <c r="C219" s="8"/>
      <c r="D219" s="5"/>
      <c r="E219" s="14"/>
    </row>
    <row r="220" spans="1:5" ht="14.25" customHeight="1">
      <c r="A220" s="7"/>
      <c r="B220" s="5"/>
      <c r="C220" s="8"/>
      <c r="D220" s="5"/>
      <c r="E220" s="14"/>
    </row>
    <row r="221" spans="1:5" ht="14.25" customHeight="1">
      <c r="A221" s="7"/>
      <c r="B221" s="5"/>
      <c r="C221" s="8"/>
      <c r="D221" s="5"/>
      <c r="E221" s="14"/>
    </row>
    <row r="222" spans="1:5" ht="14.25" customHeight="1">
      <c r="A222" s="7"/>
      <c r="B222" s="5"/>
      <c r="C222" s="8"/>
      <c r="D222" s="5"/>
      <c r="E222" s="14"/>
    </row>
    <row r="223" spans="1:5" ht="14.25" customHeight="1">
      <c r="A223" s="7"/>
      <c r="B223" s="5"/>
      <c r="C223" s="8"/>
      <c r="D223" s="5"/>
      <c r="E223" s="14"/>
    </row>
    <row r="224" spans="1:5" ht="14.25" customHeight="1">
      <c r="A224" s="7"/>
      <c r="B224" s="5"/>
      <c r="C224" s="8"/>
      <c r="D224" s="5"/>
      <c r="E224" s="14"/>
    </row>
    <row r="225" spans="1:5" ht="14.25" customHeight="1">
      <c r="A225" s="7"/>
      <c r="B225" s="5"/>
      <c r="C225" s="8"/>
      <c r="D225" s="5"/>
      <c r="E225" s="14"/>
    </row>
    <row r="226" spans="1:5" ht="14.25" customHeight="1">
      <c r="A226" s="7"/>
      <c r="B226" s="5"/>
      <c r="C226" s="8"/>
      <c r="D226" s="5"/>
      <c r="E226" s="14"/>
    </row>
    <row r="227" spans="1:5" ht="14.25" customHeight="1">
      <c r="A227" s="7"/>
      <c r="B227" s="5"/>
      <c r="C227" s="8"/>
      <c r="D227" s="5"/>
      <c r="E227" s="14"/>
    </row>
    <row r="228" spans="1:5" ht="14.25" customHeight="1">
      <c r="A228" s="7"/>
      <c r="B228" s="5"/>
      <c r="C228" s="8"/>
      <c r="D228" s="5"/>
      <c r="E228" s="14"/>
    </row>
    <row r="229" spans="1:5" ht="14.25" customHeight="1">
      <c r="A229" s="7"/>
      <c r="B229" s="5"/>
      <c r="C229" s="8"/>
      <c r="D229" s="5"/>
      <c r="E229" s="14"/>
    </row>
    <row r="230" spans="1:5" ht="14.25" customHeight="1">
      <c r="A230" s="7"/>
      <c r="B230" s="5"/>
      <c r="C230" s="8"/>
      <c r="D230" s="5"/>
      <c r="E230" s="14"/>
    </row>
    <row r="231" spans="1:5" ht="14.25" customHeight="1">
      <c r="A231" s="7"/>
      <c r="B231" s="5"/>
      <c r="C231" s="8"/>
      <c r="D231" s="5"/>
      <c r="E231" s="14"/>
    </row>
    <row r="232" spans="1:5" ht="14.25" customHeight="1">
      <c r="A232" s="7"/>
      <c r="B232" s="5"/>
      <c r="C232" s="8"/>
      <c r="D232" s="5"/>
      <c r="E232" s="14"/>
    </row>
    <row r="233" spans="1:5" ht="14.25" customHeight="1">
      <c r="A233" s="7"/>
      <c r="B233" s="5"/>
      <c r="C233" s="8"/>
      <c r="D233" s="5"/>
      <c r="E233" s="14"/>
    </row>
    <row r="234" spans="1:5" ht="14.25" customHeight="1">
      <c r="A234" s="7"/>
      <c r="B234" s="5"/>
      <c r="C234" s="8"/>
      <c r="D234" s="5"/>
      <c r="E234" s="14"/>
    </row>
    <row r="235" spans="1:5" ht="14.25" customHeight="1">
      <c r="A235" s="7"/>
      <c r="B235" s="5"/>
      <c r="C235" s="8"/>
      <c r="D235" s="5"/>
      <c r="E235" s="14"/>
    </row>
    <row r="236" spans="1:5" ht="14.25" customHeight="1">
      <c r="A236" s="7"/>
      <c r="B236" s="5"/>
      <c r="C236" s="8"/>
      <c r="D236" s="5"/>
      <c r="E236" s="14"/>
    </row>
    <row r="237" spans="1:5" ht="14.25" customHeight="1">
      <c r="A237" s="7"/>
      <c r="B237" s="5"/>
      <c r="C237" s="8"/>
      <c r="D237" s="5"/>
      <c r="E237" s="14"/>
    </row>
    <row r="238" spans="1:5" ht="14.25" customHeight="1">
      <c r="A238" s="7"/>
      <c r="B238" s="5"/>
      <c r="C238" s="8"/>
      <c r="D238" s="5"/>
      <c r="E238" s="14"/>
    </row>
    <row r="239" spans="1:5" ht="14.25" customHeight="1">
      <c r="A239" s="7"/>
      <c r="B239" s="5"/>
      <c r="C239" s="8"/>
      <c r="D239" s="5"/>
      <c r="E239" s="14"/>
    </row>
    <row r="240" spans="1:5" ht="14.25" customHeight="1">
      <c r="A240" s="7"/>
      <c r="B240" s="5"/>
      <c r="C240" s="8"/>
      <c r="D240" s="5"/>
      <c r="E240" s="14"/>
    </row>
    <row r="241" spans="1:5" ht="14.25" customHeight="1">
      <c r="A241" s="7"/>
      <c r="B241" s="5"/>
      <c r="C241" s="8"/>
      <c r="D241" s="5"/>
      <c r="E241" s="14"/>
    </row>
    <row r="242" spans="1:5" ht="14.25" customHeight="1">
      <c r="A242" s="7"/>
      <c r="B242" s="5"/>
      <c r="C242" s="8"/>
      <c r="D242" s="5"/>
      <c r="E242" s="14"/>
    </row>
    <row r="243" spans="1:5" ht="14.25" customHeight="1">
      <c r="A243" s="7"/>
      <c r="B243" s="5"/>
      <c r="C243" s="8"/>
      <c r="D243" s="5"/>
      <c r="E243" s="14"/>
    </row>
    <row r="244" spans="1:5" ht="14.25" customHeight="1">
      <c r="A244" s="7"/>
      <c r="B244" s="5"/>
      <c r="C244" s="8"/>
      <c r="D244" s="5"/>
      <c r="E244" s="14"/>
    </row>
    <row r="245" spans="1:5" ht="14.25" customHeight="1">
      <c r="A245" s="7"/>
      <c r="B245" s="5"/>
      <c r="C245" s="8"/>
      <c r="D245" s="5"/>
      <c r="E245" s="14"/>
    </row>
    <row r="246" spans="1:5" ht="14.25" customHeight="1">
      <c r="A246" s="7"/>
      <c r="B246" s="5"/>
      <c r="C246" s="8"/>
      <c r="D246" s="5"/>
      <c r="E246" s="14"/>
    </row>
    <row r="247" spans="1:5" ht="14.25" customHeight="1">
      <c r="A247" s="7"/>
      <c r="B247" s="5"/>
      <c r="C247" s="8"/>
      <c r="D247" s="5"/>
      <c r="E247" s="14"/>
    </row>
    <row r="248" spans="1:5" ht="14.25" customHeight="1">
      <c r="A248" s="7"/>
      <c r="B248" s="5"/>
      <c r="C248" s="8"/>
      <c r="D248" s="5"/>
      <c r="E248" s="14"/>
    </row>
    <row r="249" spans="1:5" ht="14.25" customHeight="1">
      <c r="A249" s="7"/>
      <c r="B249" s="5"/>
      <c r="C249" s="8"/>
      <c r="D249" s="5"/>
      <c r="E249" s="14"/>
    </row>
    <row r="250" spans="1:5" ht="14.25" customHeight="1">
      <c r="A250" s="7"/>
      <c r="B250" s="5"/>
      <c r="C250" s="8"/>
      <c r="D250" s="5"/>
      <c r="E250" s="14"/>
    </row>
    <row r="251" spans="1:5" ht="14.25" customHeight="1">
      <c r="A251" s="7"/>
      <c r="B251" s="5"/>
      <c r="C251" s="8"/>
      <c r="D251" s="5"/>
      <c r="E251" s="14"/>
    </row>
    <row r="252" spans="1:5" ht="14.25" customHeight="1">
      <c r="A252" s="7"/>
      <c r="B252" s="5"/>
      <c r="C252" s="8"/>
      <c r="D252" s="5"/>
      <c r="E252" s="14"/>
    </row>
    <row r="253" spans="1:5" ht="14.25" customHeight="1">
      <c r="A253" s="7"/>
      <c r="B253" s="5"/>
      <c r="C253" s="8"/>
      <c r="D253" s="5"/>
      <c r="E253" s="14"/>
    </row>
    <row r="254" spans="1:5" ht="14.25" customHeight="1">
      <c r="A254" s="7"/>
      <c r="B254" s="5"/>
      <c r="C254" s="8"/>
      <c r="D254" s="5"/>
      <c r="E254" s="14"/>
    </row>
    <row r="255" spans="1:5" ht="14.25" customHeight="1">
      <c r="A255" s="7"/>
      <c r="B255" s="5"/>
      <c r="C255" s="8"/>
      <c r="D255" s="5"/>
      <c r="E255" s="14"/>
    </row>
    <row r="256" spans="1:5" ht="14.25" customHeight="1">
      <c r="A256" s="7"/>
      <c r="B256" s="5"/>
      <c r="C256" s="8"/>
      <c r="D256" s="5"/>
      <c r="E256" s="14"/>
    </row>
    <row r="257" spans="1:5" ht="14.25" customHeight="1">
      <c r="A257" s="7"/>
      <c r="B257" s="5"/>
      <c r="C257" s="8"/>
      <c r="D257" s="5"/>
      <c r="E257" s="14"/>
    </row>
    <row r="258" spans="1:5" ht="14.25" customHeight="1">
      <c r="A258" s="7"/>
      <c r="B258" s="5"/>
      <c r="C258" s="8"/>
      <c r="D258" s="5"/>
      <c r="E258" s="14"/>
    </row>
    <row r="259" spans="1:5" ht="14.25" customHeight="1">
      <c r="A259" s="7"/>
      <c r="B259" s="5"/>
      <c r="C259" s="8"/>
      <c r="D259" s="5"/>
      <c r="E259" s="14"/>
    </row>
    <row r="260" spans="1:5" ht="14.25" customHeight="1">
      <c r="A260" s="7"/>
      <c r="B260" s="5"/>
      <c r="C260" s="8"/>
      <c r="D260" s="5"/>
      <c r="E260" s="14"/>
    </row>
    <row r="261" spans="1:5" ht="14.25" customHeight="1">
      <c r="A261" s="7"/>
      <c r="B261" s="5"/>
      <c r="C261" s="8"/>
      <c r="D261" s="5"/>
      <c r="E261" s="14"/>
    </row>
    <row r="262" spans="1:5" ht="14.25" customHeight="1">
      <c r="A262" s="7"/>
      <c r="B262" s="5"/>
      <c r="C262" s="8"/>
      <c r="D262" s="5"/>
      <c r="E262" s="14"/>
    </row>
    <row r="263" spans="1:5" ht="14.25" customHeight="1">
      <c r="A263" s="7"/>
      <c r="B263" s="5"/>
      <c r="C263" s="8"/>
      <c r="D263" s="5"/>
      <c r="E263" s="14"/>
    </row>
    <row r="264" spans="1:5" ht="14.25" customHeight="1">
      <c r="A264" s="7"/>
      <c r="B264" s="5"/>
      <c r="C264" s="8"/>
      <c r="D264" s="5"/>
      <c r="E264" s="14"/>
    </row>
    <row r="265" spans="1:5" ht="14.25" customHeight="1">
      <c r="A265" s="7"/>
      <c r="B265" s="5"/>
      <c r="C265" s="8"/>
      <c r="D265" s="5"/>
      <c r="E265" s="14"/>
    </row>
    <row r="266" spans="1:5" ht="14.25" customHeight="1">
      <c r="A266" s="7"/>
      <c r="B266" s="5"/>
      <c r="C266" s="8"/>
      <c r="D266" s="5"/>
      <c r="E266" s="14"/>
    </row>
    <row r="267" spans="1:5" ht="14.25" customHeight="1">
      <c r="A267" s="7"/>
      <c r="B267" s="5"/>
      <c r="C267" s="8"/>
      <c r="D267" s="5"/>
      <c r="E267" s="14"/>
    </row>
    <row r="268" spans="1:5" ht="14.25" customHeight="1">
      <c r="A268" s="7"/>
      <c r="B268" s="5"/>
      <c r="C268" s="8"/>
      <c r="D268" s="5"/>
      <c r="E268" s="14"/>
    </row>
    <row r="269" spans="1:5" ht="14.25" customHeight="1">
      <c r="A269" s="7"/>
      <c r="B269" s="5"/>
      <c r="C269" s="8"/>
      <c r="D269" s="5"/>
      <c r="E269" s="14"/>
    </row>
    <row r="270" spans="1:5" ht="14.25" customHeight="1">
      <c r="A270" s="7"/>
      <c r="B270" s="5"/>
      <c r="C270" s="8"/>
      <c r="D270" s="5"/>
      <c r="E270" s="14"/>
    </row>
    <row r="271" spans="1:5" ht="14.25" customHeight="1">
      <c r="A271" s="7"/>
      <c r="B271" s="5"/>
      <c r="C271" s="8"/>
      <c r="D271" s="5"/>
      <c r="E271" s="14"/>
    </row>
    <row r="272" spans="1:5" ht="14.25" customHeight="1">
      <c r="A272" s="7"/>
      <c r="B272" s="5"/>
      <c r="C272" s="8"/>
      <c r="D272" s="5"/>
      <c r="E272" s="14"/>
    </row>
    <row r="273" spans="1:5" ht="14.25" customHeight="1">
      <c r="A273" s="7"/>
      <c r="B273" s="5"/>
      <c r="C273" s="8"/>
      <c r="D273" s="5"/>
      <c r="E273" s="14"/>
    </row>
    <row r="274" spans="1:5" ht="14.25" customHeight="1">
      <c r="A274" s="7"/>
      <c r="B274" s="5"/>
      <c r="C274" s="8"/>
      <c r="D274" s="5"/>
      <c r="E274" s="14"/>
    </row>
    <row r="275" spans="1:5" ht="14.25" customHeight="1">
      <c r="A275" s="7"/>
      <c r="B275" s="5"/>
      <c r="C275" s="8"/>
      <c r="D275" s="5"/>
      <c r="E275" s="14"/>
    </row>
    <row r="276" spans="1:5" ht="14.25" customHeight="1">
      <c r="A276" s="7"/>
      <c r="B276" s="5"/>
      <c r="C276" s="8"/>
      <c r="D276" s="5"/>
      <c r="E276" s="14"/>
    </row>
    <row r="277" spans="1:5" ht="14.25" customHeight="1">
      <c r="A277" s="7"/>
      <c r="B277" s="5"/>
      <c r="C277" s="8"/>
      <c r="D277" s="5"/>
      <c r="E277" s="14"/>
    </row>
    <row r="278" spans="1:5" ht="14.25" customHeight="1">
      <c r="A278" s="7"/>
      <c r="B278" s="5"/>
      <c r="C278" s="8"/>
      <c r="D278" s="5"/>
      <c r="E278" s="14"/>
    </row>
    <row r="279" spans="1:5" ht="14.25" customHeight="1">
      <c r="A279" s="7"/>
      <c r="B279" s="5"/>
      <c r="C279" s="8"/>
      <c r="D279" s="5"/>
      <c r="E279" s="14"/>
    </row>
    <row r="280" spans="1:5" ht="14.25" customHeight="1">
      <c r="A280" s="7"/>
      <c r="B280" s="5"/>
      <c r="C280" s="8"/>
      <c r="D280" s="5"/>
      <c r="E280" s="14"/>
    </row>
    <row r="281" spans="1:5" ht="14.25" customHeight="1">
      <c r="A281" s="7"/>
      <c r="B281" s="5"/>
      <c r="C281" s="8"/>
      <c r="D281" s="5"/>
      <c r="E281" s="14"/>
    </row>
    <row r="282" spans="1:5" ht="14.25" customHeight="1">
      <c r="A282" s="7"/>
      <c r="B282" s="5"/>
      <c r="C282" s="8"/>
      <c r="D282" s="5"/>
      <c r="E282" s="14"/>
    </row>
    <row r="283" spans="1:5" ht="14.25" customHeight="1">
      <c r="A283" s="7"/>
      <c r="B283" s="5"/>
      <c r="C283" s="8"/>
      <c r="D283" s="5"/>
      <c r="E283" s="14"/>
    </row>
    <row r="284" spans="1:5" ht="14.25" customHeight="1">
      <c r="A284" s="7"/>
      <c r="B284" s="5"/>
      <c r="C284" s="8"/>
      <c r="D284" s="5"/>
      <c r="E284" s="14"/>
    </row>
    <row r="285" spans="1:5" ht="14.25" customHeight="1">
      <c r="A285" s="7"/>
      <c r="B285" s="5"/>
      <c r="C285" s="8"/>
      <c r="D285" s="5"/>
      <c r="E285" s="14"/>
    </row>
    <row r="286" spans="1:5" ht="14.25" customHeight="1">
      <c r="A286" s="7"/>
      <c r="B286" s="5"/>
      <c r="C286" s="8"/>
      <c r="D286" s="5"/>
      <c r="E286" s="14"/>
    </row>
    <row r="287" spans="1:5" ht="14.25" customHeight="1">
      <c r="A287" s="7"/>
      <c r="B287" s="5"/>
      <c r="C287" s="8"/>
      <c r="D287" s="5"/>
      <c r="E287" s="14"/>
    </row>
    <row r="288" spans="1:5" ht="14.25" customHeight="1">
      <c r="A288" s="7"/>
      <c r="B288" s="5"/>
      <c r="C288" s="8"/>
      <c r="D288" s="5"/>
      <c r="E288" s="14"/>
    </row>
    <row r="289" spans="1:5" ht="14.25" customHeight="1">
      <c r="A289" s="7"/>
      <c r="B289" s="5"/>
      <c r="C289" s="8"/>
      <c r="D289" s="5"/>
      <c r="E289" s="14"/>
    </row>
    <row r="290" spans="1:5" ht="14.25" customHeight="1">
      <c r="A290" s="7"/>
      <c r="B290" s="5"/>
      <c r="C290" s="8"/>
      <c r="D290" s="5"/>
      <c r="E290" s="14"/>
    </row>
    <row r="291" spans="1:5" ht="14.25" customHeight="1">
      <c r="A291" s="7"/>
      <c r="B291" s="5"/>
      <c r="C291" s="8"/>
      <c r="D291" s="5"/>
      <c r="E291" s="14"/>
    </row>
    <row r="292" spans="1:5" ht="14.25" customHeight="1">
      <c r="A292" s="7"/>
      <c r="B292" s="5"/>
      <c r="C292" s="8"/>
      <c r="D292" s="5"/>
      <c r="E292" s="14"/>
    </row>
    <row r="293" spans="1:5" ht="14.25" customHeight="1">
      <c r="A293" s="7"/>
      <c r="B293" s="5"/>
      <c r="C293" s="8"/>
      <c r="D293" s="5"/>
      <c r="E293" s="14"/>
    </row>
    <row r="294" spans="1:5" ht="14.25" customHeight="1">
      <c r="A294" s="7"/>
      <c r="B294" s="5"/>
      <c r="C294" s="8"/>
      <c r="D294" s="5"/>
      <c r="E294" s="14"/>
    </row>
    <row r="295" spans="1:5" ht="14.25" customHeight="1">
      <c r="A295" s="7"/>
      <c r="B295" s="5"/>
      <c r="C295" s="8"/>
      <c r="D295" s="5"/>
      <c r="E295" s="14"/>
    </row>
    <row r="296" spans="1:5" ht="14.25" customHeight="1">
      <c r="A296" s="7"/>
      <c r="B296" s="5"/>
      <c r="C296" s="8"/>
      <c r="D296" s="5"/>
      <c r="E296" s="14"/>
    </row>
    <row r="297" spans="1:5" ht="14.25" customHeight="1">
      <c r="A297" s="7"/>
      <c r="B297" s="5"/>
      <c r="C297" s="8"/>
      <c r="D297" s="5"/>
      <c r="E297" s="14"/>
    </row>
    <row r="298" spans="1:5" ht="14.25" customHeight="1">
      <c r="A298" s="7"/>
      <c r="B298" s="5"/>
      <c r="C298" s="8"/>
      <c r="D298" s="5"/>
      <c r="E298" s="14"/>
    </row>
    <row r="299" spans="1:5" ht="14.25" customHeight="1">
      <c r="A299" s="7"/>
      <c r="B299" s="5"/>
      <c r="C299" s="8"/>
      <c r="D299" s="5"/>
      <c r="E299" s="14"/>
    </row>
    <row r="300" spans="1:5" ht="14.25" customHeight="1">
      <c r="A300" s="7"/>
      <c r="B300" s="5"/>
      <c r="C300" s="8"/>
      <c r="D300" s="5"/>
      <c r="E300" s="14"/>
    </row>
    <row r="301" spans="1:5" ht="14.25" customHeight="1">
      <c r="A301" s="7"/>
      <c r="B301" s="5"/>
      <c r="C301" s="8"/>
      <c r="D301" s="5"/>
      <c r="E301" s="14"/>
    </row>
    <row r="302" spans="1:5" ht="14.25" customHeight="1">
      <c r="A302" s="7"/>
      <c r="B302" s="5"/>
      <c r="C302" s="8"/>
      <c r="D302" s="5"/>
      <c r="E302" s="14"/>
    </row>
    <row r="303" spans="1:5" ht="14.25" customHeight="1">
      <c r="A303" s="7"/>
      <c r="B303" s="5"/>
      <c r="C303" s="8"/>
      <c r="D303" s="5"/>
      <c r="E303" s="14"/>
    </row>
    <row r="304" spans="1:5" ht="14.25" customHeight="1">
      <c r="A304" s="7"/>
      <c r="B304" s="5"/>
      <c r="C304" s="8"/>
      <c r="D304" s="5"/>
      <c r="E304" s="14"/>
    </row>
    <row r="305" spans="1:5" ht="14.25" customHeight="1">
      <c r="A305" s="7"/>
      <c r="B305" s="5"/>
      <c r="C305" s="8"/>
      <c r="D305" s="5"/>
      <c r="E305" s="14"/>
    </row>
    <row r="306" spans="1:5" ht="14.25" customHeight="1">
      <c r="A306" s="7"/>
      <c r="B306" s="5"/>
      <c r="C306" s="8"/>
      <c r="D306" s="5"/>
      <c r="E306" s="14"/>
    </row>
    <row r="307" spans="1:5" ht="14.25" customHeight="1">
      <c r="A307" s="7"/>
      <c r="B307" s="5"/>
      <c r="C307" s="8"/>
      <c r="D307" s="5"/>
      <c r="E307" s="14"/>
    </row>
    <row r="308" spans="1:5" ht="14.25" customHeight="1">
      <c r="A308" s="7"/>
      <c r="B308" s="5"/>
      <c r="C308" s="8"/>
      <c r="D308" s="5"/>
      <c r="E308" s="14"/>
    </row>
    <row r="309" spans="1:5" ht="14.25" customHeight="1">
      <c r="A309" s="7"/>
      <c r="B309" s="5"/>
      <c r="C309" s="8"/>
      <c r="D309" s="5"/>
      <c r="E309" s="14"/>
    </row>
    <row r="310" spans="1:5" ht="14.25" customHeight="1">
      <c r="A310" s="7"/>
      <c r="B310" s="5"/>
      <c r="C310" s="8"/>
      <c r="D310" s="5"/>
      <c r="E310" s="14"/>
    </row>
    <row r="311" spans="1:5" ht="14.25" customHeight="1">
      <c r="A311" s="7"/>
      <c r="B311" s="5"/>
      <c r="C311" s="8"/>
      <c r="D311" s="5"/>
      <c r="E311" s="14"/>
    </row>
    <row r="312" spans="1:5" ht="14.25" customHeight="1">
      <c r="A312" s="7"/>
      <c r="B312" s="5"/>
      <c r="C312" s="8"/>
      <c r="D312" s="5"/>
      <c r="E312" s="14"/>
    </row>
    <row r="313" spans="1:5" ht="14.25" customHeight="1">
      <c r="A313" s="7"/>
      <c r="B313" s="5"/>
      <c r="C313" s="8"/>
      <c r="D313" s="5"/>
      <c r="E313" s="14"/>
    </row>
    <row r="314" spans="1:5" ht="14.25" customHeight="1">
      <c r="A314" s="7"/>
      <c r="B314" s="5"/>
      <c r="C314" s="8"/>
      <c r="D314" s="5"/>
      <c r="E314" s="14"/>
    </row>
    <row r="315" spans="1:5" ht="14.25" customHeight="1">
      <c r="A315" s="7"/>
      <c r="B315" s="5"/>
      <c r="C315" s="8"/>
      <c r="D315" s="5"/>
      <c r="E315" s="14"/>
    </row>
    <row r="316" spans="1:5" ht="14.25" customHeight="1">
      <c r="A316" s="7"/>
      <c r="B316" s="5"/>
      <c r="C316" s="8"/>
      <c r="D316" s="5"/>
      <c r="E316" s="14"/>
    </row>
    <row r="317" spans="1:5" ht="14.25" customHeight="1">
      <c r="A317" s="7"/>
      <c r="B317" s="5"/>
      <c r="C317" s="8"/>
      <c r="D317" s="5"/>
      <c r="E317" s="14"/>
    </row>
    <row r="318" spans="1:5" ht="14.25" customHeight="1">
      <c r="A318" s="7"/>
      <c r="B318" s="5"/>
      <c r="C318" s="8"/>
      <c r="D318" s="5"/>
      <c r="E318" s="14"/>
    </row>
    <row r="319" spans="1:5" ht="14.25" customHeight="1">
      <c r="A319" s="7"/>
      <c r="B319" s="5"/>
      <c r="C319" s="8"/>
      <c r="D319" s="5"/>
      <c r="E319" s="14"/>
    </row>
    <row r="320" spans="1:5" ht="14.25" customHeight="1">
      <c r="A320" s="7"/>
      <c r="B320" s="5"/>
      <c r="C320" s="8"/>
      <c r="D320" s="5"/>
      <c r="E320" s="14"/>
    </row>
    <row r="321" spans="1:5" ht="14.25" customHeight="1">
      <c r="A321" s="7"/>
      <c r="B321" s="5"/>
      <c r="C321" s="8"/>
      <c r="D321" s="5"/>
      <c r="E321" s="14"/>
    </row>
    <row r="322" spans="1:5" ht="14.25" customHeight="1">
      <c r="A322" s="7"/>
      <c r="B322" s="5"/>
      <c r="C322" s="8"/>
      <c r="D322" s="5"/>
      <c r="E322" s="14"/>
    </row>
    <row r="323" spans="1:5" ht="14.25" customHeight="1">
      <c r="A323" s="7"/>
      <c r="B323" s="5"/>
      <c r="C323" s="8"/>
      <c r="D323" s="5"/>
      <c r="E323" s="14"/>
    </row>
    <row r="324" spans="1:5" ht="14.25" customHeight="1">
      <c r="A324" s="7"/>
      <c r="B324" s="5"/>
      <c r="C324" s="8"/>
      <c r="D324" s="5"/>
      <c r="E324" s="14"/>
    </row>
    <row r="325" spans="1:5" ht="14.25" customHeight="1">
      <c r="A325" s="7"/>
      <c r="B325" s="5"/>
      <c r="C325" s="8"/>
      <c r="D325" s="5"/>
      <c r="E325" s="14"/>
    </row>
    <row r="326" spans="1:5" ht="14.25" customHeight="1">
      <c r="A326" s="7"/>
      <c r="B326" s="5"/>
      <c r="C326" s="8"/>
      <c r="D326" s="5"/>
      <c r="E326" s="14"/>
    </row>
    <row r="327" spans="1:5" ht="14.25" customHeight="1">
      <c r="A327" s="7"/>
      <c r="B327" s="5"/>
      <c r="C327" s="8"/>
      <c r="D327" s="5"/>
      <c r="E327" s="14"/>
    </row>
    <row r="328" spans="1:5" ht="14.25" customHeight="1">
      <c r="A328" s="7"/>
      <c r="B328" s="5"/>
      <c r="C328" s="8"/>
      <c r="D328" s="5"/>
      <c r="E328" s="14"/>
    </row>
    <row r="329" spans="1:5" ht="14.25" customHeight="1">
      <c r="A329" s="7"/>
      <c r="B329" s="5"/>
      <c r="C329" s="8"/>
      <c r="D329" s="5"/>
      <c r="E329" s="14"/>
    </row>
    <row r="330" spans="1:5" ht="14.25" customHeight="1">
      <c r="A330" s="7"/>
      <c r="B330" s="5"/>
      <c r="C330" s="8"/>
      <c r="D330" s="5"/>
      <c r="E330" s="14"/>
    </row>
    <row r="331" spans="1:5" ht="14.25" customHeight="1">
      <c r="A331" s="7"/>
      <c r="B331" s="5"/>
      <c r="C331" s="8"/>
      <c r="D331" s="5"/>
      <c r="E331" s="14"/>
    </row>
    <row r="332" spans="1:5" ht="14.25" customHeight="1">
      <c r="A332" s="7"/>
      <c r="B332" s="5"/>
      <c r="C332" s="8"/>
      <c r="D332" s="5"/>
      <c r="E332" s="14"/>
    </row>
    <row r="333" spans="1:5" ht="14.25" customHeight="1">
      <c r="A333" s="7"/>
      <c r="B333" s="5"/>
      <c r="C333" s="8"/>
      <c r="D333" s="5"/>
      <c r="E333" s="14"/>
    </row>
    <row r="334" spans="1:5" ht="14.25" customHeight="1">
      <c r="A334" s="7"/>
      <c r="B334" s="5"/>
      <c r="C334" s="8"/>
      <c r="D334" s="5"/>
      <c r="E334" s="14"/>
    </row>
    <row r="335" spans="1:5" ht="14.25" customHeight="1">
      <c r="A335" s="7"/>
      <c r="B335" s="5"/>
      <c r="C335" s="8"/>
      <c r="D335" s="5"/>
      <c r="E335" s="14"/>
    </row>
    <row r="336" spans="1:5" ht="14.25" customHeight="1">
      <c r="A336" s="7"/>
      <c r="B336" s="5"/>
      <c r="C336" s="8"/>
      <c r="D336" s="5"/>
      <c r="E336" s="14"/>
    </row>
    <row r="337" spans="1:5" ht="14.25" customHeight="1">
      <c r="A337" s="7"/>
      <c r="B337" s="5"/>
      <c r="C337" s="8"/>
      <c r="D337" s="5"/>
      <c r="E337" s="14"/>
    </row>
    <row r="338" spans="1:5" ht="14.25" customHeight="1">
      <c r="A338" s="7"/>
      <c r="B338" s="5"/>
      <c r="C338" s="8"/>
      <c r="D338" s="5"/>
      <c r="E338" s="14"/>
    </row>
    <row r="339" spans="1:5" ht="14.25" customHeight="1">
      <c r="A339" s="7"/>
      <c r="B339" s="5"/>
      <c r="C339" s="8"/>
      <c r="D339" s="5"/>
      <c r="E339" s="14"/>
    </row>
    <row r="340" spans="1:5" ht="14.25" customHeight="1">
      <c r="A340" s="7"/>
      <c r="B340" s="5"/>
      <c r="C340" s="8"/>
      <c r="D340" s="5"/>
      <c r="E340" s="14"/>
    </row>
    <row r="341" spans="1:5" ht="14.25" customHeight="1">
      <c r="A341" s="7"/>
      <c r="B341" s="5"/>
      <c r="C341" s="8"/>
      <c r="D341" s="5"/>
      <c r="E341" s="14"/>
    </row>
    <row r="342" spans="1:5" ht="14.25" customHeight="1">
      <c r="A342" s="7"/>
      <c r="B342" s="5"/>
      <c r="C342" s="8"/>
      <c r="D342" s="5"/>
      <c r="E342" s="14"/>
    </row>
    <row r="343" spans="1:5" ht="14.25" customHeight="1">
      <c r="A343" s="7"/>
      <c r="B343" s="5"/>
      <c r="C343" s="8"/>
      <c r="D343" s="5"/>
      <c r="E343" s="14"/>
    </row>
    <row r="344" spans="1:5" ht="14.25" customHeight="1">
      <c r="A344" s="7"/>
      <c r="B344" s="5"/>
      <c r="C344" s="8"/>
      <c r="D344" s="5"/>
      <c r="E344" s="14"/>
    </row>
    <row r="345" spans="1:5" ht="14.25" customHeight="1">
      <c r="A345" s="7"/>
      <c r="B345" s="5"/>
      <c r="C345" s="8"/>
      <c r="D345" s="5"/>
      <c r="E345" s="14"/>
    </row>
    <row r="346" spans="1:5" ht="14.25" customHeight="1">
      <c r="A346" s="7"/>
      <c r="B346" s="5"/>
      <c r="C346" s="8"/>
      <c r="D346" s="5"/>
      <c r="E346" s="14"/>
    </row>
    <row r="347" spans="1:5" ht="14.25" customHeight="1">
      <c r="A347" s="7"/>
      <c r="B347" s="5"/>
      <c r="C347" s="8"/>
      <c r="D347" s="5"/>
      <c r="E347" s="14"/>
    </row>
    <row r="348" spans="1:5" ht="14.25" customHeight="1">
      <c r="A348" s="7"/>
      <c r="B348" s="5"/>
      <c r="C348" s="8"/>
      <c r="D348" s="5"/>
      <c r="E348" s="14"/>
    </row>
    <row r="349" spans="1:5" ht="14.25" customHeight="1">
      <c r="A349" s="7"/>
      <c r="B349" s="5"/>
      <c r="C349" s="8"/>
      <c r="D349" s="5"/>
      <c r="E349" s="14"/>
    </row>
    <row r="350" spans="1:5" ht="14.25" customHeight="1">
      <c r="A350" s="7"/>
      <c r="B350" s="5"/>
      <c r="C350" s="8"/>
      <c r="D350" s="5"/>
      <c r="E350" s="14"/>
    </row>
    <row r="351" spans="1:5" ht="14.25" customHeight="1">
      <c r="A351" s="7"/>
      <c r="B351" s="5"/>
      <c r="C351" s="8"/>
      <c r="D351" s="5"/>
      <c r="E351" s="14"/>
    </row>
    <row r="352" spans="1:5" ht="14.25" customHeight="1">
      <c r="A352" s="7"/>
      <c r="B352" s="5"/>
      <c r="C352" s="8"/>
      <c r="D352" s="5"/>
      <c r="E352" s="14"/>
    </row>
    <row r="353" spans="1:5" ht="14.25" customHeight="1">
      <c r="A353" s="7"/>
      <c r="B353" s="5"/>
      <c r="C353" s="8"/>
      <c r="D353" s="5"/>
      <c r="E353" s="14"/>
    </row>
    <row r="354" spans="1:5" ht="14.25" customHeight="1">
      <c r="A354" s="7"/>
      <c r="B354" s="5"/>
      <c r="C354" s="8"/>
      <c r="D354" s="5"/>
      <c r="E354" s="14"/>
    </row>
    <row r="355" spans="1:5" ht="14.25" customHeight="1">
      <c r="A355" s="7"/>
      <c r="B355" s="5"/>
      <c r="C355" s="8"/>
      <c r="D355" s="5"/>
      <c r="E355" s="14"/>
    </row>
    <row r="356" spans="1:5" ht="14.25" customHeight="1">
      <c r="A356" s="7"/>
      <c r="B356" s="5"/>
      <c r="C356" s="8"/>
      <c r="D356" s="5"/>
      <c r="E356" s="14"/>
    </row>
    <row r="357" spans="1:5" ht="14.25" customHeight="1">
      <c r="A357" s="7"/>
      <c r="B357" s="5"/>
      <c r="C357" s="8"/>
      <c r="D357" s="5"/>
      <c r="E357" s="14"/>
    </row>
    <row r="358" spans="1:5" ht="14.25" customHeight="1">
      <c r="A358" s="7"/>
      <c r="B358" s="5"/>
      <c r="C358" s="8"/>
      <c r="D358" s="5"/>
      <c r="E358" s="14"/>
    </row>
    <row r="359" spans="1:5" ht="14.25" customHeight="1">
      <c r="A359" s="7"/>
      <c r="B359" s="5"/>
      <c r="C359" s="8"/>
      <c r="D359" s="5"/>
      <c r="E359" s="14"/>
    </row>
    <row r="360" spans="1:5" ht="14.25" customHeight="1">
      <c r="A360" s="7"/>
      <c r="B360" s="5"/>
      <c r="C360" s="8"/>
      <c r="D360" s="5"/>
      <c r="E360" s="14"/>
    </row>
    <row r="361" spans="1:5" ht="14.25" customHeight="1">
      <c r="A361" s="7"/>
      <c r="B361" s="5"/>
      <c r="C361" s="8"/>
      <c r="D361" s="5"/>
      <c r="E361" s="14"/>
    </row>
    <row r="362" spans="1:5" ht="14.25" customHeight="1">
      <c r="A362" s="7"/>
      <c r="B362" s="5"/>
      <c r="C362" s="8"/>
      <c r="D362" s="5"/>
      <c r="E362" s="14"/>
    </row>
    <row r="363" spans="1:5" ht="14.25" customHeight="1">
      <c r="A363" s="7"/>
      <c r="B363" s="5"/>
      <c r="C363" s="8"/>
      <c r="D363" s="5"/>
      <c r="E363" s="14"/>
    </row>
    <row r="364" spans="1:5" ht="14.25" customHeight="1">
      <c r="A364" s="7"/>
      <c r="B364" s="5"/>
      <c r="C364" s="8"/>
      <c r="D364" s="5"/>
      <c r="E364" s="14"/>
    </row>
    <row r="365" spans="1:5" ht="14.25" customHeight="1">
      <c r="A365" s="7"/>
      <c r="B365" s="5"/>
      <c r="C365" s="8"/>
      <c r="D365" s="5"/>
      <c r="E365" s="14"/>
    </row>
    <row r="366" spans="1:5" ht="14.25" customHeight="1">
      <c r="A366" s="7"/>
      <c r="B366" s="5"/>
      <c r="C366" s="8"/>
      <c r="D366" s="5"/>
      <c r="E366" s="14"/>
    </row>
    <row r="367" spans="1:5" ht="14.25" customHeight="1">
      <c r="A367" s="7"/>
      <c r="B367" s="5"/>
      <c r="C367" s="8"/>
      <c r="D367" s="5"/>
      <c r="E367" s="14"/>
    </row>
    <row r="368" spans="1:5" ht="14.25" customHeight="1">
      <c r="A368" s="7"/>
      <c r="B368" s="5"/>
      <c r="C368" s="8"/>
      <c r="D368" s="5"/>
      <c r="E368" s="14"/>
    </row>
    <row r="369" spans="1:5" ht="14.25" customHeight="1">
      <c r="A369" s="7"/>
      <c r="B369" s="5"/>
      <c r="C369" s="8"/>
      <c r="D369" s="5"/>
      <c r="E369" s="14"/>
    </row>
    <row r="370" spans="1:5" ht="14.25" customHeight="1">
      <c r="A370" s="7"/>
      <c r="B370" s="5"/>
      <c r="C370" s="8"/>
      <c r="D370" s="5"/>
      <c r="E370" s="14"/>
    </row>
    <row r="371" spans="1:5" ht="14.25" customHeight="1">
      <c r="A371" s="7"/>
      <c r="B371" s="5"/>
      <c r="C371" s="8"/>
      <c r="D371" s="5"/>
      <c r="E371" s="14"/>
    </row>
    <row r="372" spans="1:5" ht="14.25" customHeight="1">
      <c r="A372" s="7"/>
      <c r="B372" s="5"/>
      <c r="C372" s="8"/>
      <c r="D372" s="5"/>
      <c r="E372" s="14"/>
    </row>
    <row r="373" spans="1:5" ht="14.25" customHeight="1">
      <c r="A373" s="7"/>
      <c r="B373" s="5"/>
      <c r="C373" s="8"/>
      <c r="D373" s="5"/>
      <c r="E373" s="14"/>
    </row>
    <row r="374" spans="1:5" ht="14.25" customHeight="1">
      <c r="A374" s="7"/>
      <c r="B374" s="5"/>
      <c r="C374" s="8"/>
      <c r="D374" s="5"/>
      <c r="E374" s="14"/>
    </row>
    <row r="375" spans="1:5" ht="14.25" customHeight="1">
      <c r="A375" s="7"/>
      <c r="B375" s="5"/>
      <c r="C375" s="8"/>
      <c r="D375" s="5"/>
      <c r="E375" s="14"/>
    </row>
    <row r="376" spans="1:5" ht="14.25" customHeight="1">
      <c r="A376" s="7"/>
      <c r="B376" s="5"/>
      <c r="C376" s="8"/>
      <c r="D376" s="5"/>
      <c r="E376" s="14"/>
    </row>
    <row r="377" spans="1:5" ht="14.25" customHeight="1">
      <c r="A377" s="7"/>
      <c r="B377" s="5"/>
      <c r="C377" s="8"/>
      <c r="D377" s="5"/>
      <c r="E377" s="14"/>
    </row>
    <row r="378" spans="1:5" ht="14.25" customHeight="1">
      <c r="A378" s="7"/>
      <c r="B378" s="5"/>
      <c r="C378" s="8"/>
      <c r="D378" s="5"/>
      <c r="E378" s="14"/>
    </row>
    <row r="379" spans="1:5" ht="14.25" customHeight="1">
      <c r="A379" s="7"/>
      <c r="B379" s="5"/>
      <c r="C379" s="8"/>
      <c r="D379" s="5"/>
      <c r="E379" s="14"/>
    </row>
    <row r="380" spans="1:5" ht="14.25" customHeight="1">
      <c r="A380" s="7"/>
      <c r="B380" s="5"/>
      <c r="C380" s="8"/>
      <c r="D380" s="5"/>
      <c r="E380" s="14"/>
    </row>
    <row r="381" spans="1:5" ht="14.25" customHeight="1">
      <c r="A381" s="7"/>
      <c r="B381" s="5"/>
      <c r="C381" s="8"/>
      <c r="D381" s="5"/>
      <c r="E381" s="14"/>
    </row>
    <row r="382" spans="1:5" ht="14.25" customHeight="1">
      <c r="A382" s="7"/>
      <c r="B382" s="5"/>
      <c r="C382" s="8"/>
      <c r="D382" s="5"/>
      <c r="E382" s="14"/>
    </row>
    <row r="383" spans="1:5" ht="14.25" customHeight="1">
      <c r="A383" s="7"/>
      <c r="B383" s="5"/>
      <c r="C383" s="8"/>
      <c r="D383" s="5"/>
      <c r="E383" s="14"/>
    </row>
    <row r="384" spans="1:5" ht="14.25" customHeight="1">
      <c r="A384" s="7"/>
      <c r="B384" s="5"/>
      <c r="C384" s="8"/>
      <c r="D384" s="5"/>
      <c r="E384" s="14"/>
    </row>
    <row r="385" spans="1:5" ht="14.25" customHeight="1">
      <c r="A385" s="7"/>
      <c r="B385" s="5"/>
      <c r="C385" s="8"/>
      <c r="D385" s="5"/>
      <c r="E385" s="14"/>
    </row>
    <row r="386" spans="1:5" ht="14.25" customHeight="1">
      <c r="A386" s="7"/>
      <c r="B386" s="5"/>
      <c r="C386" s="8"/>
      <c r="D386" s="5"/>
      <c r="E386" s="14"/>
    </row>
    <row r="387" spans="1:5" ht="14.25" customHeight="1">
      <c r="A387" s="7"/>
      <c r="B387" s="5"/>
      <c r="C387" s="8"/>
      <c r="D387" s="5"/>
      <c r="E387" s="14"/>
    </row>
    <row r="388" spans="1:5" ht="14.25" customHeight="1">
      <c r="A388" s="7"/>
      <c r="B388" s="5"/>
      <c r="C388" s="8"/>
      <c r="D388" s="5"/>
      <c r="E388" s="14"/>
    </row>
    <row r="389" spans="1:5" ht="14.25" customHeight="1">
      <c r="A389" s="7"/>
      <c r="B389" s="5"/>
      <c r="C389" s="8"/>
      <c r="D389" s="5"/>
      <c r="E389" s="14"/>
    </row>
    <row r="390" spans="1:5" ht="14.25" customHeight="1">
      <c r="A390" s="7"/>
      <c r="B390" s="5"/>
      <c r="C390" s="8"/>
      <c r="D390" s="5"/>
      <c r="E390" s="14"/>
    </row>
    <row r="391" spans="1:5" ht="14.25" customHeight="1">
      <c r="A391" s="7"/>
      <c r="B391" s="5"/>
      <c r="C391" s="8"/>
      <c r="D391" s="5"/>
      <c r="E391" s="14"/>
    </row>
    <row r="392" spans="1:5" ht="14.25" customHeight="1">
      <c r="A392" s="7"/>
      <c r="B392" s="5"/>
      <c r="C392" s="8"/>
      <c r="D392" s="5"/>
      <c r="E392" s="14"/>
    </row>
    <row r="393" spans="1:5" ht="14.25" customHeight="1">
      <c r="A393" s="7"/>
      <c r="B393" s="5"/>
      <c r="C393" s="8"/>
      <c r="D393" s="5"/>
      <c r="E393" s="14"/>
    </row>
    <row r="394" spans="1:5" ht="14.25" customHeight="1">
      <c r="A394" s="7"/>
      <c r="B394" s="5"/>
      <c r="C394" s="8"/>
      <c r="D394" s="5"/>
      <c r="E394" s="14"/>
    </row>
    <row r="395" spans="1:5" ht="14.25" customHeight="1">
      <c r="A395" s="7"/>
      <c r="B395" s="5"/>
      <c r="C395" s="8"/>
      <c r="D395" s="5"/>
      <c r="E395" s="14"/>
    </row>
    <row r="396" spans="1:5" ht="14.25" customHeight="1">
      <c r="A396" s="7"/>
      <c r="B396" s="5"/>
      <c r="C396" s="8"/>
      <c r="D396" s="5"/>
      <c r="E396" s="14"/>
    </row>
    <row r="397" spans="1:5" ht="14.25" customHeight="1">
      <c r="A397" s="7"/>
      <c r="B397" s="5"/>
      <c r="C397" s="8"/>
      <c r="D397" s="5"/>
      <c r="E397" s="14"/>
    </row>
    <row r="398" spans="1:5" ht="14.25" customHeight="1">
      <c r="A398" s="7"/>
      <c r="B398" s="5"/>
      <c r="C398" s="8"/>
      <c r="D398" s="5"/>
      <c r="E398" s="14"/>
    </row>
    <row r="399" spans="1:5" ht="14.25" customHeight="1">
      <c r="A399" s="7"/>
      <c r="B399" s="5"/>
      <c r="C399" s="8"/>
      <c r="D399" s="5"/>
      <c r="E399" s="14"/>
    </row>
    <row r="400" spans="1:5" ht="14.25" customHeight="1">
      <c r="A400" s="7"/>
      <c r="B400" s="5"/>
      <c r="C400" s="8"/>
      <c r="D400" s="5"/>
      <c r="E400" s="14"/>
    </row>
    <row r="401" spans="1:5" ht="14.25" customHeight="1">
      <c r="A401" s="7"/>
      <c r="B401" s="5"/>
      <c r="C401" s="8"/>
      <c r="D401" s="5"/>
      <c r="E401" s="14"/>
    </row>
    <row r="402" spans="1:5" ht="14.25" customHeight="1">
      <c r="A402" s="7"/>
      <c r="B402" s="5"/>
      <c r="C402" s="8"/>
      <c r="D402" s="5"/>
      <c r="E402" s="14"/>
    </row>
    <row r="403" spans="1:5" ht="14.25" customHeight="1">
      <c r="A403" s="7"/>
      <c r="B403" s="5"/>
      <c r="C403" s="8"/>
      <c r="D403" s="5"/>
      <c r="E403" s="14"/>
    </row>
    <row r="404" spans="1:5" ht="14.25" customHeight="1">
      <c r="A404" s="7"/>
      <c r="B404" s="5"/>
      <c r="C404" s="8"/>
      <c r="D404" s="5"/>
      <c r="E404" s="14"/>
    </row>
    <row r="405" spans="1:5" ht="14.25" customHeight="1">
      <c r="A405" s="7"/>
      <c r="B405" s="5"/>
      <c r="C405" s="8"/>
      <c r="D405" s="5"/>
      <c r="E405" s="14"/>
    </row>
    <row r="406" spans="1:5" ht="14.25" customHeight="1">
      <c r="A406" s="7"/>
      <c r="B406" s="5"/>
      <c r="C406" s="8"/>
      <c r="D406" s="5"/>
      <c r="E406" s="14"/>
    </row>
    <row r="407" spans="1:5" ht="14.25" customHeight="1">
      <c r="A407" s="7"/>
      <c r="B407" s="5"/>
      <c r="C407" s="8"/>
      <c r="D407" s="5"/>
      <c r="E407" s="14"/>
    </row>
    <row r="408" spans="1:5" ht="14.25" customHeight="1">
      <c r="A408" s="7"/>
      <c r="B408" s="5"/>
      <c r="C408" s="8"/>
      <c r="D408" s="5"/>
      <c r="E408" s="14"/>
    </row>
    <row r="409" spans="1:5" ht="14.25" customHeight="1">
      <c r="A409" s="7"/>
      <c r="B409" s="5"/>
      <c r="C409" s="8"/>
      <c r="D409" s="5"/>
      <c r="E409" s="14"/>
    </row>
    <row r="410" spans="1:5" ht="14.25" customHeight="1">
      <c r="A410" s="7"/>
      <c r="B410" s="5"/>
      <c r="C410" s="8"/>
      <c r="D410" s="5"/>
      <c r="E410" s="14"/>
    </row>
    <row r="411" spans="1:5" ht="14.25" customHeight="1">
      <c r="A411" s="7"/>
      <c r="B411" s="5"/>
      <c r="C411" s="8"/>
      <c r="D411" s="5"/>
      <c r="E411" s="14"/>
    </row>
    <row r="412" spans="1:5" ht="14.25" customHeight="1">
      <c r="A412" s="7"/>
      <c r="B412" s="5"/>
      <c r="C412" s="8"/>
      <c r="D412" s="5"/>
      <c r="E412" s="14"/>
    </row>
    <row r="413" spans="1:5" ht="14.25" customHeight="1">
      <c r="A413" s="7"/>
      <c r="B413" s="5"/>
      <c r="C413" s="8"/>
      <c r="D413" s="5"/>
      <c r="E413" s="14"/>
    </row>
    <row r="414" spans="1:5" ht="14.25" customHeight="1">
      <c r="A414" s="7"/>
      <c r="B414" s="5"/>
      <c r="C414" s="8"/>
      <c r="D414" s="5"/>
      <c r="E414" s="14"/>
    </row>
    <row r="415" spans="1:5" ht="14.25" customHeight="1">
      <c r="A415" s="7"/>
      <c r="B415" s="5"/>
      <c r="C415" s="8"/>
      <c r="D415" s="5"/>
      <c r="E415" s="14"/>
    </row>
    <row r="416" spans="1:5" ht="14.25" customHeight="1">
      <c r="A416" s="7"/>
      <c r="B416" s="5"/>
      <c r="C416" s="8"/>
      <c r="D416" s="5"/>
      <c r="E416" s="14"/>
    </row>
    <row r="417" spans="1:5" ht="14.25" customHeight="1">
      <c r="A417" s="7"/>
      <c r="B417" s="5"/>
      <c r="C417" s="8"/>
      <c r="D417" s="5"/>
      <c r="E417" s="14"/>
    </row>
    <row r="418" spans="1:5" ht="14.25" customHeight="1">
      <c r="A418" s="7"/>
      <c r="B418" s="5"/>
      <c r="C418" s="8"/>
      <c r="D418" s="5"/>
      <c r="E418" s="14"/>
    </row>
    <row r="419" spans="1:5" ht="14.25" customHeight="1">
      <c r="A419" s="7"/>
      <c r="B419" s="5"/>
      <c r="C419" s="8"/>
      <c r="D419" s="5"/>
      <c r="E419" s="14"/>
    </row>
    <row r="420" spans="1:5" ht="14.25" customHeight="1">
      <c r="A420" s="7"/>
      <c r="B420" s="5"/>
      <c r="C420" s="8"/>
      <c r="D420" s="5"/>
      <c r="E420" s="14"/>
    </row>
    <row r="421" spans="1:5" ht="14.25" customHeight="1">
      <c r="A421" s="7"/>
      <c r="B421" s="5"/>
      <c r="C421" s="8"/>
      <c r="D421" s="5"/>
      <c r="E421" s="14"/>
    </row>
    <row r="422" spans="1:5" ht="14.25" customHeight="1">
      <c r="A422" s="7"/>
      <c r="B422" s="5"/>
      <c r="C422" s="8"/>
      <c r="D422" s="5"/>
      <c r="E422" s="14"/>
    </row>
    <row r="423" spans="1:5" ht="14.25" customHeight="1">
      <c r="A423" s="7"/>
      <c r="B423" s="5"/>
      <c r="C423" s="8"/>
      <c r="D423" s="5"/>
      <c r="E423" s="14"/>
    </row>
    <row r="424" spans="1:5" ht="14.25" customHeight="1">
      <c r="A424" s="7"/>
      <c r="B424" s="5"/>
      <c r="C424" s="8"/>
      <c r="D424" s="5"/>
      <c r="E424" s="14"/>
    </row>
    <row r="425" spans="1:5" ht="14.25" customHeight="1">
      <c r="A425" s="7"/>
      <c r="B425" s="5"/>
      <c r="C425" s="8"/>
      <c r="D425" s="5"/>
      <c r="E425" s="14"/>
    </row>
    <row r="426" spans="1:5" ht="14.25" customHeight="1">
      <c r="A426" s="7"/>
      <c r="B426" s="5"/>
      <c r="C426" s="8"/>
      <c r="D426" s="5"/>
      <c r="E426" s="14"/>
    </row>
    <row r="427" spans="1:5" ht="14.25" customHeight="1">
      <c r="A427" s="7"/>
      <c r="B427" s="5"/>
      <c r="C427" s="8"/>
      <c r="D427" s="5"/>
      <c r="E427" s="14"/>
    </row>
    <row r="428" spans="1:5" ht="14.25" customHeight="1">
      <c r="A428" s="7"/>
      <c r="B428" s="5"/>
      <c r="C428" s="8"/>
      <c r="D428" s="5"/>
      <c r="E428" s="14"/>
    </row>
    <row r="429" spans="1:5" ht="14.25" customHeight="1">
      <c r="A429" s="7"/>
      <c r="B429" s="5"/>
      <c r="C429" s="8"/>
      <c r="D429" s="5"/>
      <c r="E429" s="14"/>
    </row>
    <row r="430" spans="1:5" ht="14.25" customHeight="1">
      <c r="A430" s="7"/>
      <c r="B430" s="5"/>
      <c r="C430" s="8"/>
      <c r="D430" s="5"/>
      <c r="E430" s="14"/>
    </row>
    <row r="431" spans="1:5" ht="14.25" customHeight="1">
      <c r="A431" s="7"/>
      <c r="B431" s="5"/>
      <c r="C431" s="8"/>
      <c r="D431" s="5"/>
      <c r="E431" s="14"/>
    </row>
    <row r="432" spans="1:5" ht="14.25" customHeight="1">
      <c r="A432" s="7"/>
      <c r="B432" s="5"/>
      <c r="C432" s="8"/>
      <c r="D432" s="5"/>
      <c r="E432" s="14"/>
    </row>
    <row r="433" spans="1:5" ht="14.25" customHeight="1">
      <c r="A433" s="7"/>
      <c r="B433" s="5"/>
      <c r="C433" s="8"/>
      <c r="D433" s="5"/>
      <c r="E433" s="14"/>
    </row>
    <row r="434" spans="1:5" ht="14.25" customHeight="1">
      <c r="A434" s="7"/>
      <c r="B434" s="5"/>
      <c r="C434" s="8"/>
      <c r="D434" s="5"/>
      <c r="E434" s="14"/>
    </row>
    <row r="435" spans="1:5" ht="14.25" customHeight="1">
      <c r="A435" s="7"/>
      <c r="B435" s="5"/>
      <c r="C435" s="8"/>
      <c r="D435" s="5"/>
      <c r="E435" s="14"/>
    </row>
    <row r="436" spans="1:5" ht="14.25" customHeight="1">
      <c r="A436" s="7"/>
      <c r="B436" s="5"/>
      <c r="C436" s="8"/>
      <c r="D436" s="5"/>
      <c r="E436" s="14"/>
    </row>
    <row r="437" spans="1:5" ht="14.25" customHeight="1">
      <c r="A437" s="7"/>
      <c r="B437" s="5"/>
      <c r="C437" s="8"/>
      <c r="D437" s="5"/>
      <c r="E437" s="14"/>
    </row>
    <row r="438" spans="1:5" ht="14.25" customHeight="1">
      <c r="A438" s="7"/>
      <c r="B438" s="5"/>
      <c r="C438" s="8"/>
      <c r="D438" s="5"/>
      <c r="E438" s="14"/>
    </row>
    <row r="439" spans="1:5" ht="14.25" customHeight="1">
      <c r="A439" s="7"/>
      <c r="B439" s="5"/>
      <c r="C439" s="8"/>
      <c r="D439" s="5"/>
      <c r="E439" s="14"/>
    </row>
    <row r="440" spans="1:5" ht="14.25" customHeight="1">
      <c r="A440" s="7"/>
      <c r="B440" s="5"/>
      <c r="C440" s="8"/>
      <c r="D440" s="5"/>
      <c r="E440" s="14"/>
    </row>
    <row r="441" spans="1:5" ht="14.25" customHeight="1">
      <c r="A441" s="7"/>
      <c r="B441" s="5"/>
      <c r="C441" s="8"/>
      <c r="D441" s="5"/>
      <c r="E441" s="14"/>
    </row>
    <row r="442" spans="1:5" ht="14.25" customHeight="1">
      <c r="A442" s="7"/>
      <c r="B442" s="5"/>
      <c r="C442" s="8"/>
      <c r="D442" s="5"/>
      <c r="E442" s="14"/>
    </row>
    <row r="443" spans="1:5" ht="14.25" customHeight="1">
      <c r="A443" s="7"/>
      <c r="B443" s="5"/>
      <c r="C443" s="8"/>
      <c r="D443" s="5"/>
      <c r="E443" s="14"/>
    </row>
    <row r="444" spans="1:5" ht="14.25" customHeight="1">
      <c r="A444" s="7"/>
      <c r="B444" s="5"/>
      <c r="C444" s="8"/>
      <c r="D444" s="5"/>
      <c r="E444" s="14"/>
    </row>
    <row r="445" spans="1:5" ht="14.25" customHeight="1">
      <c r="A445" s="7"/>
      <c r="B445" s="5"/>
      <c r="C445" s="8"/>
      <c r="D445" s="5"/>
      <c r="E445" s="14"/>
    </row>
    <row r="446" spans="1:5" ht="14.25" customHeight="1">
      <c r="A446" s="7"/>
      <c r="B446" s="5"/>
      <c r="C446" s="8"/>
      <c r="D446" s="5"/>
      <c r="E446" s="14"/>
    </row>
    <row r="447" spans="1:5" ht="14.25" customHeight="1">
      <c r="A447" s="7"/>
      <c r="B447" s="5"/>
      <c r="C447" s="8"/>
      <c r="D447" s="5"/>
      <c r="E447" s="14"/>
    </row>
    <row r="448" spans="1:5" ht="14.25" customHeight="1">
      <c r="A448" s="7"/>
      <c r="B448" s="5"/>
      <c r="C448" s="8"/>
      <c r="D448" s="5"/>
      <c r="E448" s="14"/>
    </row>
    <row r="449" spans="1:5" ht="14.25" customHeight="1">
      <c r="A449" s="7"/>
      <c r="B449" s="5"/>
      <c r="C449" s="8"/>
      <c r="D449" s="5"/>
      <c r="E449" s="14"/>
    </row>
    <row r="450" spans="1:5" ht="14.25" customHeight="1">
      <c r="A450" s="7"/>
      <c r="B450" s="5"/>
      <c r="C450" s="8"/>
      <c r="D450" s="5"/>
      <c r="E450" s="14"/>
    </row>
    <row r="451" spans="1:5" ht="14.25" customHeight="1">
      <c r="A451" s="7"/>
      <c r="B451" s="5"/>
      <c r="C451" s="8"/>
      <c r="D451" s="5"/>
      <c r="E451" s="14"/>
    </row>
    <row r="452" spans="1:5" ht="14.25" customHeight="1">
      <c r="A452" s="7"/>
      <c r="B452" s="5"/>
      <c r="C452" s="8"/>
      <c r="D452" s="5"/>
      <c r="E452" s="14"/>
    </row>
    <row r="453" spans="1:5" ht="14.25" customHeight="1">
      <c r="A453" s="7"/>
      <c r="B453" s="5"/>
      <c r="C453" s="8"/>
      <c r="D453" s="5"/>
      <c r="E453" s="14"/>
    </row>
    <row r="454" spans="1:5" ht="14.25" customHeight="1">
      <c r="A454" s="7"/>
      <c r="B454" s="5"/>
      <c r="C454" s="8"/>
      <c r="D454" s="5"/>
      <c r="E454" s="14"/>
    </row>
    <row r="455" spans="1:5" ht="14.25" customHeight="1">
      <c r="A455" s="7"/>
      <c r="B455" s="5"/>
      <c r="C455" s="8"/>
      <c r="D455" s="5"/>
      <c r="E455" s="14"/>
    </row>
    <row r="456" spans="1:5" ht="14.25" customHeight="1">
      <c r="A456" s="7"/>
      <c r="B456" s="5"/>
      <c r="C456" s="8"/>
      <c r="D456" s="5"/>
      <c r="E456" s="14"/>
    </row>
    <row r="457" spans="1:5" ht="14.25" customHeight="1">
      <c r="A457" s="7"/>
      <c r="B457" s="5"/>
      <c r="C457" s="8"/>
      <c r="D457" s="5"/>
      <c r="E457" s="14"/>
    </row>
    <row r="458" spans="1:5" ht="14.25" customHeight="1">
      <c r="A458" s="7"/>
      <c r="B458" s="5"/>
      <c r="C458" s="8"/>
      <c r="D458" s="5"/>
      <c r="E458" s="14"/>
    </row>
    <row r="459" spans="1:5" ht="14.25" customHeight="1">
      <c r="A459" s="7"/>
      <c r="B459" s="5"/>
      <c r="C459" s="8"/>
      <c r="D459" s="5"/>
      <c r="E459" s="14"/>
    </row>
    <row r="460" spans="1:5" ht="14.25" customHeight="1">
      <c r="A460" s="7"/>
      <c r="B460" s="5"/>
      <c r="C460" s="8"/>
      <c r="D460" s="5"/>
      <c r="E460" s="14"/>
    </row>
    <row r="461" spans="1:5" ht="14.25" customHeight="1">
      <c r="A461" s="7"/>
      <c r="B461" s="5"/>
      <c r="C461" s="8"/>
      <c r="D461" s="5"/>
      <c r="E461" s="14"/>
    </row>
    <row r="462" spans="1:5" ht="14.25" customHeight="1">
      <c r="A462" s="7"/>
      <c r="B462" s="5"/>
      <c r="C462" s="8"/>
      <c r="D462" s="5"/>
      <c r="E462" s="14"/>
    </row>
    <row r="463" spans="1:5" ht="14.25" customHeight="1">
      <c r="A463" s="7"/>
      <c r="B463" s="5"/>
      <c r="C463" s="8"/>
      <c r="D463" s="5"/>
      <c r="E463" s="14"/>
    </row>
    <row r="464" spans="1:5" ht="14.25" customHeight="1">
      <c r="A464" s="7"/>
      <c r="B464" s="5"/>
      <c r="C464" s="8"/>
      <c r="D464" s="5"/>
      <c r="E464" s="14"/>
    </row>
    <row r="465" spans="1:5" ht="14.25" customHeight="1">
      <c r="A465" s="7"/>
      <c r="B465" s="5"/>
      <c r="C465" s="8"/>
      <c r="D465" s="5"/>
      <c r="E465" s="14"/>
    </row>
    <row r="466" spans="1:5" ht="14.25" customHeight="1">
      <c r="A466" s="7"/>
      <c r="B466" s="5"/>
      <c r="C466" s="8"/>
      <c r="D466" s="5"/>
      <c r="E466" s="14"/>
    </row>
    <row r="467" spans="1:5" ht="14.25" customHeight="1">
      <c r="A467" s="7"/>
      <c r="B467" s="5"/>
      <c r="C467" s="8"/>
      <c r="D467" s="5"/>
      <c r="E467" s="14"/>
    </row>
    <row r="468" spans="1:5" ht="14.25" customHeight="1">
      <c r="A468" s="7"/>
      <c r="B468" s="5"/>
      <c r="C468" s="8"/>
      <c r="D468" s="5"/>
      <c r="E468" s="14"/>
    </row>
    <row r="469" spans="1:5" ht="14.25" customHeight="1">
      <c r="A469" s="7"/>
      <c r="B469" s="5"/>
      <c r="C469" s="8"/>
      <c r="D469" s="5"/>
      <c r="E469" s="14"/>
    </row>
    <row r="470" spans="1:5" ht="14.25" customHeight="1">
      <c r="A470" s="7"/>
      <c r="B470" s="5"/>
      <c r="C470" s="8"/>
      <c r="D470" s="5"/>
      <c r="E470" s="14"/>
    </row>
    <row r="471" spans="1:5" ht="14.25" customHeight="1">
      <c r="A471" s="7"/>
      <c r="B471" s="5"/>
      <c r="C471" s="8"/>
      <c r="D471" s="5"/>
      <c r="E471" s="14"/>
    </row>
    <row r="472" spans="1:5" ht="14.25" customHeight="1">
      <c r="A472" s="7"/>
      <c r="B472" s="5"/>
      <c r="C472" s="8"/>
      <c r="D472" s="5"/>
      <c r="E472" s="14"/>
    </row>
    <row r="473" spans="1:5" ht="14.25" customHeight="1">
      <c r="A473" s="7"/>
      <c r="B473" s="5"/>
      <c r="C473" s="8"/>
      <c r="D473" s="5"/>
      <c r="E473" s="14"/>
    </row>
    <row r="474" spans="1:5" ht="14.25" customHeight="1">
      <c r="A474" s="7"/>
      <c r="B474" s="5"/>
      <c r="C474" s="8"/>
      <c r="D474" s="5"/>
      <c r="E474" s="14"/>
    </row>
    <row r="475" spans="1:5" ht="14.25" customHeight="1">
      <c r="A475" s="7"/>
      <c r="B475" s="5"/>
      <c r="C475" s="8"/>
      <c r="D475" s="5"/>
      <c r="E475" s="14"/>
    </row>
    <row r="476" spans="1:5" ht="14.25" customHeight="1">
      <c r="A476" s="7"/>
      <c r="B476" s="5"/>
      <c r="C476" s="8"/>
      <c r="D476" s="5"/>
      <c r="E476" s="14"/>
    </row>
    <row r="477" spans="1:5" ht="14.25" customHeight="1">
      <c r="A477" s="7"/>
      <c r="B477" s="5"/>
      <c r="C477" s="8"/>
      <c r="D477" s="5"/>
      <c r="E477" s="14"/>
    </row>
    <row r="478" spans="1:5" ht="14.25" customHeight="1">
      <c r="A478" s="7"/>
      <c r="B478" s="5"/>
      <c r="C478" s="8"/>
      <c r="D478" s="5"/>
      <c r="E478" s="14"/>
    </row>
    <row r="479" spans="1:5" ht="14.25" customHeight="1">
      <c r="A479" s="7"/>
      <c r="B479" s="5"/>
      <c r="C479" s="8"/>
      <c r="D479" s="5"/>
      <c r="E479" s="14"/>
    </row>
    <row r="480" spans="1:5" ht="14.25" customHeight="1">
      <c r="A480" s="7"/>
      <c r="B480" s="5"/>
      <c r="C480" s="8"/>
      <c r="D480" s="5"/>
      <c r="E480" s="14"/>
    </row>
    <row r="481" spans="1:5" ht="14.25" customHeight="1">
      <c r="A481" s="7"/>
      <c r="B481" s="5"/>
      <c r="C481" s="8"/>
      <c r="D481" s="5"/>
      <c r="E481" s="14"/>
    </row>
    <row r="482" spans="1:5" ht="14.25" customHeight="1">
      <c r="A482" s="7"/>
      <c r="B482" s="5"/>
      <c r="C482" s="8"/>
      <c r="D482" s="5"/>
      <c r="E482" s="14"/>
    </row>
    <row r="483" spans="1:5" ht="14.25" customHeight="1">
      <c r="A483" s="7"/>
      <c r="B483" s="5"/>
      <c r="C483" s="8"/>
      <c r="D483" s="5"/>
      <c r="E483" s="14"/>
    </row>
    <row r="484" spans="1:5" ht="14.25" customHeight="1">
      <c r="A484" s="7"/>
      <c r="B484" s="5"/>
      <c r="C484" s="8"/>
      <c r="D484" s="5"/>
      <c r="E484" s="14"/>
    </row>
    <row r="485" spans="1:5" ht="14.25" customHeight="1">
      <c r="A485" s="7"/>
      <c r="B485" s="5"/>
      <c r="C485" s="8"/>
      <c r="D485" s="5"/>
      <c r="E485" s="14"/>
    </row>
    <row r="486" spans="1:5" ht="14.25" customHeight="1">
      <c r="A486" s="7"/>
      <c r="B486" s="5"/>
      <c r="C486" s="8"/>
      <c r="D486" s="5"/>
      <c r="E486" s="14"/>
    </row>
    <row r="487" spans="1:5" ht="14.25" customHeight="1">
      <c r="A487" s="7"/>
      <c r="B487" s="5"/>
      <c r="C487" s="8"/>
      <c r="D487" s="5"/>
      <c r="E487" s="14"/>
    </row>
    <row r="488" spans="1:5" ht="14.25" customHeight="1">
      <c r="A488" s="7"/>
      <c r="B488" s="5"/>
      <c r="C488" s="8"/>
      <c r="D488" s="5"/>
      <c r="E488" s="14"/>
    </row>
    <row r="489" spans="1:5" ht="14.25" customHeight="1">
      <c r="A489" s="7"/>
      <c r="B489" s="5"/>
      <c r="C489" s="8"/>
      <c r="D489" s="5"/>
      <c r="E489" s="14"/>
    </row>
    <row r="490" spans="1:5" ht="14.25" customHeight="1">
      <c r="A490" s="7"/>
      <c r="B490" s="5"/>
      <c r="C490" s="8"/>
      <c r="D490" s="5"/>
      <c r="E490" s="14"/>
    </row>
    <row r="491" spans="1:5" ht="14.25" customHeight="1">
      <c r="A491" s="7"/>
      <c r="B491" s="5"/>
      <c r="C491" s="8"/>
      <c r="D491" s="5"/>
      <c r="E491" s="14"/>
    </row>
    <row r="492" spans="1:5" ht="14.25" customHeight="1">
      <c r="A492" s="7"/>
      <c r="B492" s="5"/>
      <c r="C492" s="8"/>
      <c r="D492" s="5"/>
      <c r="E492" s="14"/>
    </row>
    <row r="493" spans="1:5" ht="14.25" customHeight="1">
      <c r="A493" s="7"/>
      <c r="B493" s="5"/>
      <c r="C493" s="8"/>
      <c r="D493" s="5"/>
      <c r="E493" s="14"/>
    </row>
    <row r="494" spans="1:5" ht="14.25" customHeight="1">
      <c r="A494" s="7"/>
      <c r="B494" s="5"/>
      <c r="C494" s="8"/>
      <c r="D494" s="5"/>
      <c r="E494" s="14"/>
    </row>
    <row r="495" spans="1:5" ht="14.25" customHeight="1">
      <c r="A495" s="7"/>
      <c r="B495" s="5"/>
      <c r="C495" s="8"/>
      <c r="D495" s="5"/>
      <c r="E495" s="14"/>
    </row>
    <row r="496" spans="1:5" ht="14.25" customHeight="1">
      <c r="A496" s="7"/>
      <c r="B496" s="5"/>
      <c r="C496" s="8"/>
      <c r="D496" s="5"/>
      <c r="E496" s="14"/>
    </row>
    <row r="497" spans="1:5" ht="14.25" customHeight="1">
      <c r="A497" s="7"/>
      <c r="B497" s="5"/>
      <c r="C497" s="8"/>
      <c r="D497" s="5"/>
      <c r="E497" s="14"/>
    </row>
    <row r="498" spans="1:5" ht="14.25" customHeight="1">
      <c r="A498" s="7"/>
      <c r="B498" s="5"/>
      <c r="C498" s="8"/>
      <c r="D498" s="5"/>
      <c r="E498" s="14"/>
    </row>
    <row r="499" spans="1:5" ht="14.25" customHeight="1">
      <c r="A499" s="7"/>
      <c r="B499" s="5"/>
      <c r="C499" s="8"/>
      <c r="D499" s="5"/>
      <c r="E499" s="14"/>
    </row>
    <row r="500" spans="1:5" ht="14.25" customHeight="1">
      <c r="A500" s="7"/>
      <c r="B500" s="5"/>
      <c r="C500" s="8"/>
      <c r="D500" s="5"/>
      <c r="E500" s="14"/>
    </row>
    <row r="501" spans="1:5" ht="14.25" customHeight="1">
      <c r="A501" s="7"/>
      <c r="B501" s="5"/>
      <c r="C501" s="8"/>
      <c r="D501" s="5"/>
      <c r="E501" s="14"/>
    </row>
    <row r="502" spans="1:5" ht="14.25" customHeight="1">
      <c r="A502" s="7"/>
      <c r="B502" s="5"/>
      <c r="C502" s="8"/>
      <c r="D502" s="5"/>
      <c r="E502" s="14"/>
    </row>
    <row r="503" spans="1:5" ht="14.25" customHeight="1">
      <c r="A503" s="7"/>
      <c r="B503" s="5"/>
      <c r="C503" s="8"/>
      <c r="D503" s="5"/>
      <c r="E503" s="14"/>
    </row>
    <row r="504" spans="1:5" ht="14.25" customHeight="1">
      <c r="A504" s="7"/>
      <c r="B504" s="5"/>
      <c r="C504" s="8"/>
      <c r="D504" s="5"/>
      <c r="E504" s="14"/>
    </row>
    <row r="505" spans="1:5" ht="14.25" customHeight="1">
      <c r="A505" s="7"/>
      <c r="B505" s="5"/>
      <c r="C505" s="8"/>
      <c r="D505" s="5"/>
      <c r="E505" s="14"/>
    </row>
    <row r="506" spans="1:5" ht="14.25" customHeight="1">
      <c r="A506" s="7"/>
      <c r="B506" s="5"/>
      <c r="C506" s="8"/>
      <c r="D506" s="5"/>
      <c r="E506" s="14"/>
    </row>
    <row r="507" spans="1:5" ht="14.25" customHeight="1">
      <c r="A507" s="7"/>
      <c r="B507" s="5"/>
      <c r="C507" s="8"/>
      <c r="D507" s="5"/>
      <c r="E507" s="14"/>
    </row>
    <row r="508" spans="1:5" ht="14.25" customHeight="1">
      <c r="A508" s="7"/>
      <c r="B508" s="5"/>
      <c r="C508" s="8"/>
      <c r="D508" s="5"/>
      <c r="E508" s="14"/>
    </row>
    <row r="509" spans="1:5" ht="14.25" customHeight="1">
      <c r="A509" s="7"/>
      <c r="B509" s="5"/>
      <c r="C509" s="8"/>
      <c r="D509" s="5"/>
      <c r="E509" s="14"/>
    </row>
    <row r="510" spans="1:5" ht="14.25" customHeight="1">
      <c r="A510" s="7"/>
      <c r="B510" s="5"/>
      <c r="C510" s="8"/>
      <c r="D510" s="5"/>
      <c r="E510" s="14"/>
    </row>
    <row r="511" spans="1:5" ht="14.25" customHeight="1">
      <c r="A511" s="7"/>
      <c r="B511" s="5"/>
      <c r="C511" s="8"/>
      <c r="D511" s="5"/>
      <c r="E511" s="14"/>
    </row>
    <row r="512" spans="1:5" ht="14.25" customHeight="1">
      <c r="A512" s="7"/>
      <c r="B512" s="5"/>
      <c r="C512" s="8"/>
      <c r="D512" s="5"/>
      <c r="E512" s="14"/>
    </row>
    <row r="513" spans="1:5" ht="14.25" customHeight="1">
      <c r="A513" s="7"/>
      <c r="B513" s="5"/>
      <c r="C513" s="8"/>
      <c r="D513" s="5"/>
      <c r="E513" s="14"/>
    </row>
    <row r="514" spans="1:5" ht="14.25" customHeight="1">
      <c r="A514" s="7"/>
      <c r="B514" s="5"/>
      <c r="C514" s="8"/>
      <c r="D514" s="5"/>
      <c r="E514" s="14"/>
    </row>
    <row r="515" spans="1:5" ht="14.25" customHeight="1">
      <c r="A515" s="7"/>
      <c r="B515" s="5"/>
      <c r="C515" s="8"/>
      <c r="D515" s="5"/>
      <c r="E515" s="14"/>
    </row>
    <row r="516" spans="1:5" ht="14.25" customHeight="1">
      <c r="A516" s="7"/>
      <c r="B516" s="5"/>
      <c r="C516" s="8"/>
      <c r="D516" s="5"/>
      <c r="E516" s="14"/>
    </row>
    <row r="517" spans="1:5" ht="14.25" customHeight="1">
      <c r="A517" s="7"/>
      <c r="B517" s="5"/>
      <c r="C517" s="8"/>
      <c r="D517" s="5"/>
      <c r="E517" s="14"/>
    </row>
    <row r="518" spans="1:5" ht="14.25" customHeight="1">
      <c r="A518" s="7"/>
      <c r="B518" s="5"/>
      <c r="C518" s="8"/>
      <c r="D518" s="5"/>
      <c r="E518" s="14"/>
    </row>
    <row r="519" spans="1:5" ht="14.25" customHeight="1">
      <c r="A519" s="7"/>
      <c r="B519" s="5"/>
      <c r="C519" s="8"/>
      <c r="D519" s="5"/>
      <c r="E519" s="14"/>
    </row>
    <row r="520" spans="1:5" ht="14.25" customHeight="1">
      <c r="A520" s="7"/>
      <c r="B520" s="5"/>
      <c r="C520" s="8"/>
      <c r="D520" s="5"/>
      <c r="E520" s="14"/>
    </row>
    <row r="521" spans="1:5" ht="14.25" customHeight="1">
      <c r="A521" s="7"/>
      <c r="B521" s="5"/>
      <c r="C521" s="8"/>
      <c r="D521" s="5"/>
      <c r="E521" s="14"/>
    </row>
    <row r="522" spans="1:5" ht="14.25" customHeight="1">
      <c r="A522" s="7"/>
      <c r="B522" s="5"/>
      <c r="C522" s="8"/>
      <c r="D522" s="5"/>
      <c r="E522" s="14"/>
    </row>
    <row r="523" spans="1:5" ht="14.25" customHeight="1">
      <c r="A523" s="7"/>
      <c r="B523" s="5"/>
      <c r="C523" s="8"/>
      <c r="D523" s="5"/>
      <c r="E523" s="14"/>
    </row>
    <row r="524" spans="1:5" ht="14.25" customHeight="1">
      <c r="A524" s="7"/>
      <c r="B524" s="5"/>
      <c r="C524" s="8"/>
      <c r="D524" s="5"/>
      <c r="E524" s="14"/>
    </row>
    <row r="525" spans="1:5" ht="14.25" customHeight="1">
      <c r="A525" s="7"/>
      <c r="B525" s="5"/>
      <c r="C525" s="8"/>
      <c r="D525" s="5"/>
      <c r="E525" s="14"/>
    </row>
    <row r="526" spans="1:5" ht="14.25" customHeight="1">
      <c r="A526" s="7"/>
      <c r="B526" s="5"/>
      <c r="C526" s="8"/>
      <c r="D526" s="5"/>
      <c r="E526" s="14"/>
    </row>
    <row r="527" spans="1:5" ht="14.25" customHeight="1">
      <c r="A527" s="7"/>
      <c r="B527" s="5"/>
      <c r="C527" s="8"/>
      <c r="D527" s="5"/>
      <c r="E527" s="14"/>
    </row>
    <row r="528" spans="1:5" ht="14.25" customHeight="1">
      <c r="A528" s="7"/>
      <c r="B528" s="5"/>
      <c r="C528" s="8"/>
      <c r="D528" s="5"/>
      <c r="E528" s="14"/>
    </row>
    <row r="529" spans="1:5" ht="14.25" customHeight="1">
      <c r="A529" s="7"/>
      <c r="B529" s="5"/>
      <c r="C529" s="8"/>
      <c r="D529" s="5"/>
      <c r="E529" s="14"/>
    </row>
    <row r="530" spans="1:5" ht="14.25" customHeight="1">
      <c r="A530" s="7"/>
      <c r="B530" s="5"/>
      <c r="C530" s="8"/>
      <c r="D530" s="5"/>
      <c r="E530" s="14"/>
    </row>
    <row r="531" spans="1:5" ht="14.25" customHeight="1">
      <c r="A531" s="7"/>
      <c r="B531" s="5"/>
      <c r="C531" s="8"/>
      <c r="D531" s="5"/>
      <c r="E531" s="14"/>
    </row>
    <row r="532" spans="1:5" ht="14.25" customHeight="1">
      <c r="A532" s="7"/>
      <c r="B532" s="5"/>
      <c r="C532" s="8"/>
      <c r="D532" s="5"/>
      <c r="E532" s="14"/>
    </row>
    <row r="533" spans="1:5" ht="14.25" customHeight="1">
      <c r="A533" s="7"/>
      <c r="B533" s="5"/>
      <c r="C533" s="8"/>
      <c r="D533" s="5"/>
      <c r="E533" s="14"/>
    </row>
    <row r="534" spans="1:5" ht="14.25" customHeight="1">
      <c r="A534" s="7"/>
      <c r="B534" s="5"/>
      <c r="C534" s="8"/>
      <c r="D534" s="5"/>
      <c r="E534" s="14"/>
    </row>
    <row r="535" spans="1:5" ht="14.25" customHeight="1">
      <c r="A535" s="7"/>
      <c r="B535" s="5"/>
      <c r="C535" s="8"/>
      <c r="D535" s="5"/>
      <c r="E535" s="14"/>
    </row>
    <row r="536" spans="1:5" ht="14.25" customHeight="1">
      <c r="A536" s="7"/>
      <c r="B536" s="5"/>
      <c r="C536" s="8"/>
      <c r="D536" s="5"/>
      <c r="E536" s="14"/>
    </row>
    <row r="537" spans="1:5" ht="14.25" customHeight="1">
      <c r="A537" s="7"/>
      <c r="B537" s="5"/>
      <c r="C537" s="8"/>
      <c r="D537" s="5"/>
      <c r="E537" s="14"/>
    </row>
    <row r="538" spans="1:5" ht="14.25" customHeight="1">
      <c r="A538" s="7"/>
      <c r="B538" s="5"/>
      <c r="C538" s="8"/>
      <c r="D538" s="5"/>
      <c r="E538" s="14"/>
    </row>
    <row r="539" spans="1:5" ht="14.25" customHeight="1">
      <c r="A539" s="7"/>
      <c r="B539" s="5"/>
      <c r="C539" s="8"/>
      <c r="D539" s="5"/>
      <c r="E539" s="14"/>
    </row>
    <row r="540" spans="1:5" ht="14.25" customHeight="1">
      <c r="A540" s="7"/>
      <c r="B540" s="5"/>
      <c r="C540" s="8"/>
      <c r="D540" s="5"/>
      <c r="E540" s="14"/>
    </row>
    <row r="541" spans="1:5" ht="14.25" customHeight="1">
      <c r="A541" s="7"/>
      <c r="B541" s="5"/>
      <c r="C541" s="8"/>
      <c r="D541" s="5"/>
      <c r="E541" s="14"/>
    </row>
    <row r="542" spans="1:5" ht="14.25" customHeight="1">
      <c r="A542" s="7"/>
      <c r="B542" s="5"/>
      <c r="C542" s="8"/>
      <c r="D542" s="5"/>
      <c r="E542" s="14"/>
    </row>
    <row r="543" spans="1:5" ht="14.25" customHeight="1">
      <c r="A543" s="7"/>
      <c r="B543" s="5"/>
      <c r="C543" s="8"/>
      <c r="D543" s="5"/>
      <c r="E543" s="14"/>
    </row>
    <row r="544" spans="1:5" ht="14.25" customHeight="1">
      <c r="A544" s="7"/>
      <c r="B544" s="5"/>
      <c r="C544" s="8"/>
      <c r="D544" s="5"/>
      <c r="E544" s="14"/>
    </row>
    <row r="545" spans="1:5" ht="14.25" customHeight="1">
      <c r="A545" s="7"/>
      <c r="B545" s="5"/>
      <c r="C545" s="8"/>
      <c r="D545" s="5"/>
      <c r="E545" s="14"/>
    </row>
    <row r="546" spans="1:5" ht="14.25" customHeight="1">
      <c r="A546" s="7"/>
      <c r="B546" s="5"/>
      <c r="C546" s="8"/>
      <c r="D546" s="5"/>
      <c r="E546" s="14"/>
    </row>
    <row r="547" spans="1:5" ht="14.25" customHeight="1">
      <c r="A547" s="7"/>
      <c r="B547" s="5"/>
      <c r="C547" s="8"/>
      <c r="D547" s="5"/>
      <c r="E547" s="14"/>
    </row>
    <row r="548" spans="1:5" ht="14.25" customHeight="1">
      <c r="A548" s="7"/>
      <c r="B548" s="5"/>
      <c r="C548" s="8"/>
      <c r="D548" s="5"/>
      <c r="E548" s="14"/>
    </row>
    <row r="549" spans="1:5" ht="14.25" customHeight="1">
      <c r="A549" s="7"/>
      <c r="B549" s="5"/>
      <c r="C549" s="8"/>
      <c r="D549" s="5"/>
      <c r="E549" s="14"/>
    </row>
    <row r="550" spans="1:5" ht="14.25" customHeight="1">
      <c r="A550" s="7"/>
      <c r="B550" s="5"/>
      <c r="C550" s="8"/>
      <c r="D550" s="5"/>
      <c r="E550" s="14"/>
    </row>
    <row r="551" spans="1:5" ht="14.25" customHeight="1">
      <c r="A551" s="7"/>
      <c r="B551" s="5"/>
      <c r="C551" s="8"/>
      <c r="D551" s="5"/>
      <c r="E551" s="14"/>
    </row>
    <row r="552" spans="1:5" ht="14.25" customHeight="1">
      <c r="A552" s="7"/>
      <c r="B552" s="5"/>
      <c r="C552" s="8"/>
      <c r="D552" s="5"/>
      <c r="E552" s="14"/>
    </row>
    <row r="553" spans="1:5" ht="14.25" customHeight="1">
      <c r="A553" s="7"/>
      <c r="B553" s="5"/>
      <c r="C553" s="8"/>
      <c r="D553" s="5"/>
      <c r="E553" s="14"/>
    </row>
    <row r="554" spans="1:5" ht="14.25" customHeight="1">
      <c r="A554" s="7"/>
      <c r="B554" s="5"/>
      <c r="C554" s="8"/>
      <c r="D554" s="5"/>
      <c r="E554" s="14"/>
    </row>
    <row r="555" spans="1:5" ht="14.25" customHeight="1">
      <c r="A555" s="7"/>
      <c r="B555" s="5"/>
      <c r="C555" s="8"/>
      <c r="D555" s="5"/>
      <c r="E555" s="14"/>
    </row>
    <row r="556" spans="1:5" ht="14.25" customHeight="1">
      <c r="A556" s="7"/>
      <c r="B556" s="5"/>
      <c r="C556" s="8"/>
      <c r="D556" s="5"/>
      <c r="E556" s="14"/>
    </row>
    <row r="557" spans="1:5" ht="14.25" customHeight="1">
      <c r="A557" s="7"/>
      <c r="B557" s="5"/>
      <c r="C557" s="8"/>
      <c r="D557" s="5"/>
      <c r="E557" s="14"/>
    </row>
    <row r="558" spans="1:5" ht="14.25" customHeight="1">
      <c r="A558" s="7"/>
      <c r="B558" s="5"/>
      <c r="C558" s="8"/>
      <c r="D558" s="5"/>
      <c r="E558" s="14"/>
    </row>
    <row r="559" spans="1:5" ht="14.25" customHeight="1">
      <c r="A559" s="7"/>
      <c r="B559" s="5"/>
      <c r="C559" s="8"/>
      <c r="D559" s="5"/>
      <c r="E559" s="14"/>
    </row>
    <row r="560" spans="1:5" ht="14.25" customHeight="1">
      <c r="A560" s="7"/>
      <c r="B560" s="5"/>
      <c r="C560" s="8"/>
      <c r="D560" s="5"/>
      <c r="E560" s="14"/>
    </row>
    <row r="561" spans="1:5" ht="14.25" customHeight="1">
      <c r="A561" s="7"/>
      <c r="B561" s="5"/>
      <c r="C561" s="8"/>
      <c r="D561" s="5"/>
      <c r="E561" s="14"/>
    </row>
    <row r="562" spans="1:5" ht="14.25" customHeight="1">
      <c r="A562" s="7"/>
      <c r="B562" s="5"/>
      <c r="C562" s="8"/>
      <c r="D562" s="5"/>
      <c r="E562" s="14"/>
    </row>
    <row r="563" spans="1:5" ht="14.25" customHeight="1">
      <c r="A563" s="7"/>
      <c r="B563" s="5"/>
      <c r="C563" s="8"/>
      <c r="D563" s="5"/>
      <c r="E563" s="14"/>
    </row>
    <row r="564" spans="1:5" ht="14.25" customHeight="1">
      <c r="A564" s="7"/>
      <c r="B564" s="5"/>
      <c r="C564" s="8"/>
      <c r="D564" s="5"/>
      <c r="E564" s="14"/>
    </row>
    <row r="565" spans="1:5" ht="14.25" customHeight="1">
      <c r="A565" s="7"/>
      <c r="B565" s="5"/>
      <c r="C565" s="8"/>
      <c r="D565" s="5"/>
      <c r="E565" s="14"/>
    </row>
    <row r="566" spans="1:5" ht="14.25" customHeight="1">
      <c r="A566" s="7"/>
      <c r="B566" s="5"/>
      <c r="C566" s="8"/>
      <c r="D566" s="5"/>
      <c r="E566" s="14"/>
    </row>
    <row r="567" spans="1:5" ht="14.25" customHeight="1">
      <c r="A567" s="7"/>
      <c r="B567" s="5"/>
      <c r="C567" s="8"/>
      <c r="D567" s="5"/>
      <c r="E567" s="14"/>
    </row>
    <row r="568" spans="1:5" ht="14.25" customHeight="1">
      <c r="A568" s="7"/>
      <c r="B568" s="5"/>
      <c r="C568" s="8"/>
      <c r="D568" s="5"/>
      <c r="E568" s="14"/>
    </row>
    <row r="569" spans="1:5" ht="14.25" customHeight="1">
      <c r="A569" s="7"/>
      <c r="B569" s="5"/>
      <c r="C569" s="8"/>
      <c r="D569" s="5"/>
      <c r="E569" s="14"/>
    </row>
    <row r="570" spans="1:5" ht="14.25" customHeight="1">
      <c r="A570" s="7"/>
      <c r="B570" s="5"/>
      <c r="C570" s="8"/>
      <c r="D570" s="5"/>
      <c r="E570" s="14"/>
    </row>
    <row r="571" spans="1:5" ht="14.25" customHeight="1">
      <c r="A571" s="7"/>
      <c r="B571" s="5"/>
      <c r="C571" s="8"/>
      <c r="D571" s="5"/>
      <c r="E571" s="14"/>
    </row>
    <row r="572" spans="1:5" ht="14.25" customHeight="1">
      <c r="A572" s="7"/>
      <c r="B572" s="5"/>
      <c r="C572" s="8"/>
      <c r="D572" s="5"/>
      <c r="E572" s="14"/>
    </row>
    <row r="573" spans="1:5" ht="14.25" customHeight="1">
      <c r="A573" s="7"/>
      <c r="B573" s="5"/>
      <c r="C573" s="8"/>
      <c r="D573" s="5"/>
      <c r="E573" s="14"/>
    </row>
    <row r="574" spans="1:5" ht="14.25" customHeight="1">
      <c r="A574" s="7"/>
      <c r="B574" s="5"/>
      <c r="C574" s="8"/>
      <c r="D574" s="5"/>
      <c r="E574" s="14"/>
    </row>
    <row r="575" spans="1:5" ht="14.25" customHeight="1">
      <c r="A575" s="7"/>
      <c r="B575" s="5"/>
      <c r="C575" s="8"/>
      <c r="D575" s="5"/>
      <c r="E575" s="14"/>
    </row>
    <row r="576" spans="1:5" ht="14.25" customHeight="1">
      <c r="A576" s="7"/>
      <c r="B576" s="5"/>
      <c r="C576" s="8"/>
      <c r="D576" s="5"/>
      <c r="E576" s="14"/>
    </row>
    <row r="577" spans="1:5" ht="14.25" customHeight="1">
      <c r="A577" s="7"/>
      <c r="B577" s="5"/>
      <c r="C577" s="8"/>
      <c r="D577" s="5"/>
      <c r="E577" s="14"/>
    </row>
    <row r="578" spans="1:5" ht="14.25" customHeight="1">
      <c r="A578" s="7"/>
      <c r="B578" s="5"/>
      <c r="C578" s="8"/>
      <c r="D578" s="5"/>
      <c r="E578" s="14"/>
    </row>
    <row r="579" spans="1:5" ht="14.25" customHeight="1">
      <c r="A579" s="7"/>
      <c r="B579" s="5"/>
      <c r="C579" s="8"/>
      <c r="D579" s="5"/>
      <c r="E579" s="14"/>
    </row>
    <row r="580" spans="1:5" ht="14.25" customHeight="1">
      <c r="A580" s="7"/>
      <c r="B580" s="5"/>
      <c r="C580" s="8"/>
      <c r="D580" s="5"/>
      <c r="E580" s="14"/>
    </row>
    <row r="581" spans="1:5" ht="14.25" customHeight="1">
      <c r="A581" s="7"/>
      <c r="B581" s="5"/>
      <c r="C581" s="8"/>
      <c r="D581" s="5"/>
      <c r="E581" s="14"/>
    </row>
    <row r="582" spans="1:5" ht="14.25" customHeight="1">
      <c r="A582" s="7"/>
      <c r="B582" s="5"/>
      <c r="C582" s="8"/>
      <c r="D582" s="5"/>
      <c r="E582" s="14"/>
    </row>
    <row r="583" spans="1:5" ht="14.25" customHeight="1">
      <c r="A583" s="7"/>
      <c r="B583" s="5"/>
      <c r="C583" s="8"/>
      <c r="D583" s="5"/>
      <c r="E583" s="14"/>
    </row>
    <row r="584" spans="1:5" ht="14.25" customHeight="1">
      <c r="A584" s="7"/>
      <c r="B584" s="5"/>
      <c r="C584" s="8"/>
      <c r="D584" s="5"/>
      <c r="E584" s="14"/>
    </row>
    <row r="585" spans="1:5" ht="14.25" customHeight="1">
      <c r="A585" s="7"/>
      <c r="B585" s="5"/>
      <c r="C585" s="8"/>
      <c r="D585" s="5"/>
      <c r="E585" s="14"/>
    </row>
    <row r="586" spans="1:5" ht="14.25" customHeight="1">
      <c r="A586" s="7"/>
      <c r="B586" s="5"/>
      <c r="C586" s="8"/>
      <c r="D586" s="5"/>
      <c r="E586" s="14"/>
    </row>
    <row r="587" spans="1:5" ht="14.25" customHeight="1">
      <c r="A587" s="7"/>
      <c r="B587" s="5"/>
      <c r="C587" s="8"/>
      <c r="D587" s="5"/>
      <c r="E587" s="14"/>
    </row>
    <row r="588" spans="1:5" ht="14.25" customHeight="1">
      <c r="A588" s="7"/>
      <c r="B588" s="5"/>
      <c r="C588" s="8"/>
      <c r="D588" s="5"/>
      <c r="E588" s="14"/>
    </row>
    <row r="589" spans="1:5" ht="14.25" customHeight="1">
      <c r="A589" s="7"/>
      <c r="B589" s="5"/>
      <c r="C589" s="8"/>
      <c r="D589" s="5"/>
      <c r="E589" s="14"/>
    </row>
    <row r="590" spans="1:5" ht="14.25" customHeight="1">
      <c r="A590" s="7"/>
      <c r="B590" s="5"/>
      <c r="C590" s="8"/>
      <c r="D590" s="5"/>
      <c r="E590" s="14"/>
    </row>
    <row r="591" spans="1:5" ht="14.25" customHeight="1">
      <c r="A591" s="7"/>
      <c r="B591" s="5"/>
      <c r="C591" s="8"/>
      <c r="D591" s="5"/>
      <c r="E591" s="14"/>
    </row>
    <row r="592" spans="1:5" ht="14.25" customHeight="1">
      <c r="A592" s="7"/>
      <c r="B592" s="5"/>
      <c r="C592" s="8"/>
      <c r="D592" s="5"/>
      <c r="E592" s="14"/>
    </row>
    <row r="593" spans="1:5" ht="14.25" customHeight="1">
      <c r="A593" s="7"/>
      <c r="B593" s="5"/>
      <c r="C593" s="8"/>
      <c r="D593" s="5"/>
      <c r="E593" s="14"/>
    </row>
    <row r="594" spans="1:5" ht="14.25" customHeight="1">
      <c r="A594" s="7"/>
      <c r="B594" s="5"/>
      <c r="C594" s="8"/>
      <c r="D594" s="5"/>
      <c r="E594" s="14"/>
    </row>
    <row r="595" spans="1:5" ht="14.25" customHeight="1">
      <c r="A595" s="7"/>
      <c r="B595" s="5"/>
      <c r="C595" s="8"/>
      <c r="D595" s="5"/>
      <c r="E595" s="14"/>
    </row>
    <row r="596" spans="1:5" ht="14.25" customHeight="1">
      <c r="A596" s="7"/>
      <c r="B596" s="5"/>
      <c r="C596" s="8"/>
      <c r="D596" s="5"/>
      <c r="E596" s="14"/>
    </row>
    <row r="597" spans="1:5" ht="14.25" customHeight="1">
      <c r="A597" s="7"/>
      <c r="B597" s="5"/>
      <c r="C597" s="8"/>
      <c r="D597" s="5"/>
      <c r="E597" s="14"/>
    </row>
    <row r="598" spans="1:5" ht="14.25" customHeight="1">
      <c r="A598" s="7"/>
      <c r="B598" s="5"/>
      <c r="C598" s="8"/>
      <c r="D598" s="5"/>
      <c r="E598" s="14"/>
    </row>
    <row r="599" spans="1:5" ht="14.25" customHeight="1">
      <c r="A599" s="7"/>
      <c r="B599" s="5"/>
      <c r="C599" s="8"/>
      <c r="D599" s="5"/>
      <c r="E599" s="14"/>
    </row>
    <row r="600" spans="1:5" ht="14.25" customHeight="1">
      <c r="A600" s="7"/>
      <c r="B600" s="5"/>
      <c r="C600" s="8"/>
      <c r="D600" s="5"/>
      <c r="E600" s="14"/>
    </row>
    <row r="601" spans="1:5" ht="14.25" customHeight="1">
      <c r="A601" s="7"/>
      <c r="B601" s="5"/>
      <c r="C601" s="8"/>
      <c r="D601" s="5"/>
      <c r="E601" s="14"/>
    </row>
    <row r="602" spans="1:5" ht="14.25" customHeight="1">
      <c r="A602" s="7"/>
      <c r="B602" s="5"/>
      <c r="C602" s="8"/>
      <c r="D602" s="5"/>
      <c r="E602" s="14"/>
    </row>
    <row r="603" spans="1:5" ht="14.25" customHeight="1">
      <c r="A603" s="7"/>
      <c r="B603" s="5"/>
      <c r="C603" s="8"/>
      <c r="D603" s="5"/>
      <c r="E603" s="14"/>
    </row>
    <row r="604" spans="1:5" ht="14.25" customHeight="1">
      <c r="A604" s="7"/>
      <c r="B604" s="5"/>
      <c r="C604" s="8"/>
      <c r="D604" s="5"/>
      <c r="E604" s="14"/>
    </row>
    <row r="605" spans="1:5" ht="14.25" customHeight="1">
      <c r="A605" s="7"/>
      <c r="B605" s="5"/>
      <c r="C605" s="8"/>
      <c r="D605" s="5"/>
      <c r="E605" s="14"/>
    </row>
    <row r="606" spans="1:5" ht="14.25" customHeight="1">
      <c r="A606" s="7"/>
      <c r="B606" s="5"/>
      <c r="C606" s="8"/>
      <c r="D606" s="5"/>
      <c r="E606" s="14"/>
    </row>
    <row r="607" spans="1:5" ht="14.25" customHeight="1">
      <c r="A607" s="7"/>
      <c r="B607" s="5"/>
      <c r="C607" s="8"/>
      <c r="D607" s="5"/>
      <c r="E607" s="14"/>
    </row>
    <row r="608" spans="1:5" ht="14.25" customHeight="1">
      <c r="A608" s="7"/>
      <c r="B608" s="5"/>
      <c r="C608" s="8"/>
      <c r="D608" s="5"/>
      <c r="E608" s="14"/>
    </row>
    <row r="609" spans="1:5" ht="14.25" customHeight="1">
      <c r="A609" s="7"/>
      <c r="B609" s="5"/>
      <c r="C609" s="8"/>
      <c r="D609" s="5"/>
      <c r="E609" s="14"/>
    </row>
    <row r="610" spans="1:5" ht="14.25" customHeight="1">
      <c r="A610" s="7"/>
      <c r="B610" s="5"/>
      <c r="C610" s="8"/>
      <c r="D610" s="5"/>
      <c r="E610" s="14"/>
    </row>
    <row r="611" spans="1:5" ht="14.25" customHeight="1">
      <c r="A611" s="7"/>
      <c r="B611" s="5"/>
      <c r="C611" s="8"/>
      <c r="D611" s="5"/>
      <c r="E611" s="14"/>
    </row>
    <row r="612" spans="1:5" ht="14.25" customHeight="1">
      <c r="A612" s="7"/>
      <c r="B612" s="5"/>
      <c r="C612" s="8"/>
      <c r="D612" s="5"/>
      <c r="E612" s="14"/>
    </row>
    <row r="613" spans="1:5" ht="14.25" customHeight="1">
      <c r="A613" s="7"/>
      <c r="B613" s="5"/>
      <c r="C613" s="8"/>
      <c r="D613" s="5"/>
      <c r="E613" s="14"/>
    </row>
    <row r="614" spans="1:5" ht="14.25" customHeight="1">
      <c r="A614" s="7"/>
      <c r="B614" s="5"/>
      <c r="C614" s="8"/>
      <c r="D614" s="5"/>
      <c r="E614" s="14"/>
    </row>
    <row r="615" spans="1:5" ht="14.25" customHeight="1">
      <c r="A615" s="7"/>
      <c r="B615" s="5"/>
      <c r="C615" s="8"/>
      <c r="D615" s="5"/>
      <c r="E615" s="14"/>
    </row>
    <row r="616" spans="1:5" ht="14.25" customHeight="1">
      <c r="A616" s="7"/>
      <c r="B616" s="5"/>
      <c r="C616" s="8"/>
      <c r="D616" s="5"/>
      <c r="E616" s="14"/>
    </row>
    <row r="617" spans="1:5" ht="14.25" customHeight="1">
      <c r="A617" s="7"/>
      <c r="B617" s="5"/>
      <c r="C617" s="8"/>
      <c r="D617" s="5"/>
      <c r="E617" s="14"/>
    </row>
    <row r="618" spans="1:5" ht="14.25" customHeight="1">
      <c r="A618" s="7"/>
      <c r="B618" s="5"/>
      <c r="C618" s="8"/>
      <c r="D618" s="5"/>
      <c r="E618" s="14"/>
    </row>
    <row r="619" spans="1:5" ht="14.25" customHeight="1">
      <c r="A619" s="7"/>
      <c r="B619" s="5"/>
      <c r="C619" s="8"/>
      <c r="D619" s="5"/>
      <c r="E619" s="14"/>
    </row>
    <row r="620" spans="1:5" ht="14.25" customHeight="1">
      <c r="A620" s="7"/>
      <c r="B620" s="5"/>
      <c r="C620" s="8"/>
      <c r="D620" s="5"/>
      <c r="E620" s="14"/>
    </row>
    <row r="621" spans="1:5" ht="14.25" customHeight="1">
      <c r="A621" s="7"/>
      <c r="B621" s="5"/>
      <c r="C621" s="8"/>
      <c r="D621" s="5"/>
      <c r="E621" s="14"/>
    </row>
    <row r="622" spans="1:5" ht="14.25" customHeight="1">
      <c r="A622" s="7"/>
      <c r="B622" s="5"/>
      <c r="C622" s="8"/>
      <c r="D622" s="5"/>
      <c r="E622" s="14"/>
    </row>
    <row r="623" spans="1:5" ht="14.25" customHeight="1">
      <c r="A623" s="7"/>
      <c r="B623" s="5"/>
      <c r="C623" s="8"/>
      <c r="D623" s="5"/>
      <c r="E623" s="14"/>
    </row>
    <row r="624" spans="1:5" ht="14.25" customHeight="1">
      <c r="A624" s="7"/>
      <c r="B624" s="5"/>
      <c r="C624" s="8"/>
      <c r="D624" s="5"/>
      <c r="E624" s="14"/>
    </row>
    <row r="625" spans="1:5" ht="14.25" customHeight="1">
      <c r="A625" s="7"/>
      <c r="B625" s="5"/>
      <c r="C625" s="8"/>
      <c r="D625" s="5"/>
      <c r="E625" s="14"/>
    </row>
    <row r="626" spans="1:5" ht="14.25" customHeight="1">
      <c r="A626" s="7"/>
      <c r="B626" s="5"/>
      <c r="C626" s="8"/>
      <c r="D626" s="5"/>
      <c r="E626" s="14"/>
    </row>
    <row r="627" spans="1:5" ht="14.25" customHeight="1">
      <c r="A627" s="7"/>
      <c r="B627" s="5"/>
      <c r="C627" s="8"/>
      <c r="D627" s="5"/>
      <c r="E627" s="14"/>
    </row>
    <row r="628" spans="1:5" ht="14.25" customHeight="1">
      <c r="A628" s="7"/>
      <c r="B628" s="5"/>
      <c r="C628" s="8"/>
      <c r="D628" s="5"/>
      <c r="E628" s="14"/>
    </row>
    <row r="629" spans="1:5" ht="14.25" customHeight="1">
      <c r="A629" s="7"/>
      <c r="B629" s="5"/>
      <c r="C629" s="8"/>
      <c r="D629" s="5"/>
      <c r="E629" s="14"/>
    </row>
    <row r="630" spans="1:5" ht="14.25" customHeight="1">
      <c r="A630" s="7"/>
      <c r="B630" s="5"/>
      <c r="C630" s="8"/>
      <c r="D630" s="5"/>
      <c r="E630" s="14"/>
    </row>
    <row r="631" spans="1:5" ht="14.25" customHeight="1">
      <c r="A631" s="7"/>
      <c r="B631" s="5"/>
      <c r="C631" s="8"/>
      <c r="D631" s="5"/>
      <c r="E631" s="14"/>
    </row>
    <row r="632" spans="1:5" ht="14.25" customHeight="1">
      <c r="A632" s="7"/>
      <c r="B632" s="5"/>
      <c r="C632" s="8"/>
      <c r="D632" s="5"/>
      <c r="E632" s="14"/>
    </row>
    <row r="633" spans="1:5" ht="14.25" customHeight="1">
      <c r="A633" s="7"/>
      <c r="B633" s="5"/>
      <c r="C633" s="8"/>
      <c r="D633" s="5"/>
      <c r="E633" s="14"/>
    </row>
    <row r="634" spans="1:5" ht="14.25" customHeight="1">
      <c r="A634" s="7"/>
      <c r="B634" s="5"/>
      <c r="C634" s="8"/>
      <c r="D634" s="5"/>
      <c r="E634" s="14"/>
    </row>
    <row r="635" spans="1:5" ht="14.25" customHeight="1">
      <c r="A635" s="7"/>
      <c r="B635" s="5"/>
      <c r="C635" s="8"/>
      <c r="D635" s="5"/>
      <c r="E635" s="14"/>
    </row>
    <row r="636" spans="1:5" ht="14.25" customHeight="1">
      <c r="A636" s="7"/>
      <c r="B636" s="5"/>
      <c r="C636" s="8"/>
      <c r="D636" s="5"/>
      <c r="E636" s="14"/>
    </row>
    <row r="637" spans="1:5" ht="14.25" customHeight="1">
      <c r="A637" s="7"/>
      <c r="B637" s="5"/>
      <c r="C637" s="8"/>
      <c r="D637" s="5"/>
      <c r="E637" s="14"/>
    </row>
    <row r="638" spans="1:5" ht="14.25" customHeight="1">
      <c r="A638" s="7"/>
      <c r="B638" s="5"/>
      <c r="C638" s="8"/>
      <c r="D638" s="5"/>
      <c r="E638" s="14"/>
    </row>
    <row r="639" spans="1:5" ht="14.25" customHeight="1">
      <c r="A639" s="7"/>
      <c r="B639" s="5"/>
      <c r="C639" s="8"/>
      <c r="D639" s="5"/>
      <c r="E639" s="14"/>
    </row>
    <row r="640" spans="1:5" ht="14.25" customHeight="1">
      <c r="A640" s="7"/>
      <c r="B640" s="5"/>
      <c r="C640" s="8"/>
      <c r="D640" s="5"/>
      <c r="E640" s="14"/>
    </row>
    <row r="641" spans="1:5" ht="14.25" customHeight="1">
      <c r="A641" s="7"/>
      <c r="B641" s="5"/>
      <c r="C641" s="8"/>
      <c r="D641" s="5"/>
      <c r="E641" s="14"/>
    </row>
    <row r="642" spans="1:5" ht="14.25" customHeight="1">
      <c r="A642" s="7"/>
      <c r="B642" s="5"/>
      <c r="C642" s="8"/>
      <c r="D642" s="5"/>
      <c r="E642" s="14"/>
    </row>
    <row r="643" spans="1:5" ht="14.25" customHeight="1">
      <c r="A643" s="7"/>
      <c r="B643" s="5"/>
      <c r="C643" s="8"/>
      <c r="D643" s="5"/>
      <c r="E643" s="14"/>
    </row>
    <row r="644" spans="1:5" ht="14.25" customHeight="1">
      <c r="A644" s="7"/>
      <c r="B644" s="5"/>
      <c r="C644" s="8"/>
      <c r="D644" s="5"/>
      <c r="E644" s="14"/>
    </row>
    <row r="645" spans="1:5" ht="14.25" customHeight="1">
      <c r="A645" s="7"/>
      <c r="B645" s="5"/>
      <c r="C645" s="8"/>
      <c r="D645" s="5"/>
      <c r="E645" s="14"/>
    </row>
    <row r="646" spans="1:5" ht="14.25" customHeight="1">
      <c r="A646" s="7"/>
      <c r="B646" s="5"/>
      <c r="C646" s="8"/>
      <c r="D646" s="5"/>
      <c r="E646" s="14"/>
    </row>
    <row r="647" spans="1:5" ht="14.25" customHeight="1">
      <c r="A647" s="7"/>
      <c r="B647" s="5"/>
      <c r="C647" s="8"/>
      <c r="D647" s="5"/>
      <c r="E647" s="14"/>
    </row>
    <row r="648" spans="1:5" ht="14.25" customHeight="1">
      <c r="A648" s="7"/>
      <c r="B648" s="5"/>
      <c r="C648" s="8"/>
      <c r="D648" s="5"/>
      <c r="E648" s="14"/>
    </row>
    <row r="649" spans="1:5" ht="14.25" customHeight="1">
      <c r="A649" s="7"/>
      <c r="B649" s="5"/>
      <c r="C649" s="8"/>
      <c r="D649" s="5"/>
      <c r="E649" s="14"/>
    </row>
    <row r="650" spans="1:5" ht="14.25" customHeight="1">
      <c r="A650" s="7"/>
      <c r="B650" s="5"/>
      <c r="C650" s="8"/>
      <c r="D650" s="5"/>
      <c r="E650" s="14"/>
    </row>
    <row r="651" spans="1:5" ht="14.25" customHeight="1">
      <c r="A651" s="7"/>
      <c r="B651" s="5"/>
      <c r="C651" s="8"/>
      <c r="D651" s="5"/>
      <c r="E651" s="14"/>
    </row>
    <row r="652" spans="1:5" ht="14.25" customHeight="1">
      <c r="A652" s="7"/>
      <c r="B652" s="5"/>
      <c r="C652" s="8"/>
      <c r="D652" s="5"/>
      <c r="E652" s="14"/>
    </row>
    <row r="653" spans="1:5" ht="14.25" customHeight="1">
      <c r="A653" s="7"/>
      <c r="B653" s="5"/>
      <c r="C653" s="8"/>
      <c r="D653" s="5"/>
      <c r="E653" s="14"/>
    </row>
    <row r="654" spans="1:5" ht="14.25" customHeight="1">
      <c r="A654" s="7"/>
      <c r="B654" s="5"/>
      <c r="C654" s="8"/>
      <c r="D654" s="5"/>
      <c r="E654" s="14"/>
    </row>
    <row r="655" spans="1:5" ht="14.25" customHeight="1">
      <c r="A655" s="7"/>
      <c r="B655" s="5"/>
      <c r="C655" s="8"/>
      <c r="D655" s="5"/>
      <c r="E655" s="14"/>
    </row>
    <row r="656" spans="1:5" ht="14.25" customHeight="1">
      <c r="A656" s="7"/>
      <c r="B656" s="5"/>
      <c r="C656" s="8"/>
      <c r="D656" s="5"/>
      <c r="E656" s="14"/>
    </row>
    <row r="657" spans="1:5" ht="14.25" customHeight="1">
      <c r="A657" s="7"/>
      <c r="B657" s="5"/>
      <c r="C657" s="8"/>
      <c r="D657" s="5"/>
      <c r="E657" s="14"/>
    </row>
    <row r="658" spans="1:5" ht="14.25" customHeight="1">
      <c r="A658" s="7"/>
      <c r="B658" s="5"/>
      <c r="C658" s="8"/>
      <c r="D658" s="5"/>
      <c r="E658" s="14"/>
    </row>
    <row r="659" spans="1:5" ht="14.25" customHeight="1">
      <c r="A659" s="7"/>
      <c r="B659" s="5"/>
      <c r="C659" s="8"/>
      <c r="D659" s="5"/>
      <c r="E659" s="14"/>
    </row>
    <row r="660" spans="1:5" ht="14.25" customHeight="1">
      <c r="A660" s="7"/>
      <c r="B660" s="5"/>
      <c r="C660" s="8"/>
      <c r="D660" s="5"/>
      <c r="E660" s="14"/>
    </row>
    <row r="661" spans="1:5" ht="14.25" customHeight="1">
      <c r="A661" s="7"/>
      <c r="B661" s="5"/>
      <c r="C661" s="8"/>
      <c r="D661" s="5"/>
      <c r="E661" s="14"/>
    </row>
    <row r="662" spans="1:5" ht="14.25" customHeight="1">
      <c r="A662" s="7"/>
      <c r="B662" s="5"/>
      <c r="C662" s="8"/>
      <c r="D662" s="5"/>
      <c r="E662" s="14"/>
    </row>
    <row r="663" spans="1:5" ht="14.25" customHeight="1">
      <c r="A663" s="7"/>
      <c r="B663" s="5"/>
      <c r="C663" s="8"/>
      <c r="D663" s="5"/>
      <c r="E663" s="14"/>
    </row>
    <row r="664" spans="1:5" ht="14.25" customHeight="1">
      <c r="A664" s="7"/>
      <c r="B664" s="5"/>
      <c r="C664" s="8"/>
      <c r="D664" s="5"/>
      <c r="E664" s="14"/>
    </row>
    <row r="665" spans="1:5" ht="14.25" customHeight="1">
      <c r="A665" s="7"/>
      <c r="B665" s="5"/>
      <c r="C665" s="8"/>
      <c r="D665" s="5"/>
      <c r="E665" s="14"/>
    </row>
    <row r="666" spans="1:5" ht="14.25" customHeight="1">
      <c r="A666" s="7"/>
      <c r="B666" s="5"/>
      <c r="C666" s="8"/>
      <c r="D666" s="5"/>
      <c r="E666" s="14"/>
    </row>
    <row r="667" spans="1:5" ht="14.25" customHeight="1">
      <c r="A667" s="7"/>
      <c r="B667" s="5"/>
      <c r="C667" s="8"/>
      <c r="D667" s="5"/>
      <c r="E667" s="14"/>
    </row>
    <row r="668" spans="1:5" ht="14.25" customHeight="1">
      <c r="A668" s="7"/>
      <c r="B668" s="5"/>
      <c r="C668" s="8"/>
      <c r="D668" s="5"/>
      <c r="E668" s="14"/>
    </row>
    <row r="669" spans="1:5" ht="14.25" customHeight="1">
      <c r="A669" s="7"/>
      <c r="B669" s="5"/>
      <c r="C669" s="8"/>
      <c r="D669" s="5"/>
      <c r="E669" s="14"/>
    </row>
    <row r="670" spans="1:5" ht="14.25" customHeight="1">
      <c r="A670" s="7"/>
      <c r="B670" s="5"/>
      <c r="C670" s="8"/>
      <c r="D670" s="5"/>
      <c r="E670" s="14"/>
    </row>
    <row r="671" spans="1:5" ht="14.25" customHeight="1">
      <c r="A671" s="7"/>
      <c r="B671" s="5"/>
      <c r="C671" s="8"/>
      <c r="D671" s="5"/>
      <c r="E671" s="14"/>
    </row>
    <row r="672" spans="1:5" ht="14.25" customHeight="1">
      <c r="A672" s="7"/>
      <c r="B672" s="5"/>
      <c r="C672" s="8"/>
      <c r="D672" s="5"/>
      <c r="E672" s="14"/>
    </row>
    <row r="673" spans="1:5" ht="14.25" customHeight="1">
      <c r="A673" s="7"/>
      <c r="B673" s="5"/>
      <c r="C673" s="8"/>
      <c r="D673" s="5"/>
      <c r="E673" s="14"/>
    </row>
    <row r="674" spans="1:5" ht="14.25" customHeight="1">
      <c r="A674" s="7"/>
      <c r="B674" s="5"/>
      <c r="C674" s="8"/>
      <c r="D674" s="5"/>
      <c r="E674" s="14"/>
    </row>
    <row r="675" spans="1:5" ht="14.25" customHeight="1">
      <c r="A675" s="7"/>
      <c r="B675" s="5"/>
      <c r="C675" s="8"/>
      <c r="D675" s="5"/>
      <c r="E675" s="14"/>
    </row>
    <row r="676" spans="1:5" ht="14.25" customHeight="1">
      <c r="A676" s="7"/>
      <c r="B676" s="5"/>
      <c r="C676" s="8"/>
      <c r="D676" s="5"/>
      <c r="E676" s="14"/>
    </row>
    <row r="677" spans="1:5" ht="14.25" customHeight="1">
      <c r="A677" s="7"/>
      <c r="B677" s="5"/>
      <c r="C677" s="8"/>
      <c r="D677" s="5"/>
      <c r="E677" s="14"/>
    </row>
    <row r="678" spans="1:5" ht="14.25" customHeight="1">
      <c r="A678" s="7"/>
      <c r="B678" s="5"/>
      <c r="C678" s="8"/>
      <c r="D678" s="5"/>
      <c r="E678" s="14"/>
    </row>
    <row r="679" spans="1:5" ht="14.25" customHeight="1">
      <c r="A679" s="7"/>
      <c r="B679" s="5"/>
      <c r="C679" s="8"/>
      <c r="D679" s="5"/>
      <c r="E679" s="14"/>
    </row>
    <row r="680" spans="1:5" ht="14.25" customHeight="1">
      <c r="A680" s="7"/>
      <c r="B680" s="5"/>
      <c r="C680" s="8"/>
      <c r="D680" s="5"/>
      <c r="E680" s="14"/>
    </row>
    <row r="681" spans="1:5" ht="14.25" customHeight="1">
      <c r="A681" s="7"/>
      <c r="B681" s="5"/>
      <c r="C681" s="8"/>
      <c r="D681" s="5"/>
      <c r="E681" s="14"/>
    </row>
    <row r="682" spans="1:5" ht="14.25" customHeight="1">
      <c r="A682" s="7"/>
      <c r="B682" s="5"/>
      <c r="C682" s="8"/>
      <c r="D682" s="5"/>
      <c r="E682" s="14"/>
    </row>
    <row r="683" spans="1:5" ht="14.25" customHeight="1">
      <c r="A683" s="7"/>
      <c r="B683" s="5"/>
      <c r="C683" s="8"/>
      <c r="D683" s="5"/>
      <c r="E683" s="14"/>
    </row>
    <row r="684" spans="1:5" ht="14.25" customHeight="1">
      <c r="A684" s="7"/>
      <c r="B684" s="5"/>
      <c r="C684" s="8"/>
      <c r="D684" s="5"/>
      <c r="E684" s="14"/>
    </row>
    <row r="685" spans="1:5" ht="14.25" customHeight="1">
      <c r="A685" s="7"/>
      <c r="B685" s="5"/>
      <c r="C685" s="8"/>
      <c r="D685" s="5"/>
      <c r="E685" s="14"/>
    </row>
    <row r="686" spans="1:5" ht="14.25" customHeight="1">
      <c r="A686" s="7"/>
      <c r="B686" s="5"/>
      <c r="C686" s="8"/>
      <c r="D686" s="5"/>
      <c r="E686" s="14"/>
    </row>
    <row r="687" spans="1:5" ht="14.25" customHeight="1">
      <c r="A687" s="7"/>
      <c r="B687" s="5"/>
      <c r="C687" s="8"/>
      <c r="D687" s="5"/>
      <c r="E687" s="14"/>
    </row>
    <row r="688" spans="1:5" ht="14.25" customHeight="1">
      <c r="A688" s="7"/>
      <c r="B688" s="5"/>
      <c r="C688" s="8"/>
      <c r="D688" s="5"/>
      <c r="E688" s="14"/>
    </row>
    <row r="689" spans="1:5" ht="14.25" customHeight="1">
      <c r="A689" s="7"/>
      <c r="B689" s="5"/>
      <c r="C689" s="8"/>
      <c r="D689" s="5"/>
      <c r="E689" s="14"/>
    </row>
    <row r="690" spans="1:5" ht="14.25" customHeight="1">
      <c r="A690" s="7"/>
      <c r="B690" s="5"/>
      <c r="C690" s="8"/>
      <c r="D690" s="5"/>
      <c r="E690" s="14"/>
    </row>
    <row r="691" spans="1:5" ht="14.25" customHeight="1">
      <c r="A691" s="7"/>
      <c r="B691" s="5"/>
      <c r="C691" s="8"/>
      <c r="D691" s="5"/>
      <c r="E691" s="14"/>
    </row>
    <row r="692" spans="1:5" ht="14.25" customHeight="1">
      <c r="A692" s="7"/>
      <c r="B692" s="5"/>
      <c r="C692" s="8"/>
      <c r="D692" s="5"/>
      <c r="E692" s="14"/>
    </row>
    <row r="693" spans="1:5" ht="14.25" customHeight="1">
      <c r="A693" s="7"/>
      <c r="B693" s="5"/>
      <c r="C693" s="8"/>
      <c r="D693" s="5"/>
      <c r="E693" s="14"/>
    </row>
    <row r="694" spans="1:5" ht="14.25" customHeight="1">
      <c r="A694" s="7"/>
      <c r="B694" s="5"/>
      <c r="C694" s="8"/>
      <c r="D694" s="5"/>
      <c r="E694" s="14"/>
    </row>
    <row r="695" spans="1:5" ht="14.25" customHeight="1">
      <c r="A695" s="7"/>
      <c r="B695" s="5"/>
      <c r="C695" s="8"/>
      <c r="D695" s="5"/>
      <c r="E695" s="14"/>
    </row>
    <row r="696" spans="1:5" ht="14.25" customHeight="1">
      <c r="A696" s="7"/>
      <c r="B696" s="5"/>
      <c r="C696" s="8"/>
      <c r="D696" s="5"/>
      <c r="E696" s="14"/>
    </row>
    <row r="697" spans="1:5" ht="14.25" customHeight="1">
      <c r="A697" s="7"/>
      <c r="B697" s="5"/>
      <c r="C697" s="8"/>
      <c r="D697" s="5"/>
      <c r="E697" s="14"/>
    </row>
    <row r="698" spans="1:5" ht="14.25" customHeight="1">
      <c r="A698" s="7"/>
      <c r="B698" s="5"/>
      <c r="C698" s="8"/>
      <c r="D698" s="5"/>
      <c r="E698" s="14"/>
    </row>
    <row r="699" spans="1:5" ht="14.25" customHeight="1">
      <c r="A699" s="7"/>
      <c r="B699" s="5"/>
      <c r="C699" s="8"/>
      <c r="D699" s="5"/>
      <c r="E699" s="14"/>
    </row>
    <row r="700" spans="1:5" ht="14.25" customHeight="1">
      <c r="A700" s="7"/>
      <c r="B700" s="5"/>
      <c r="C700" s="8"/>
      <c r="D700" s="5"/>
      <c r="E700" s="14"/>
    </row>
    <row r="701" spans="1:5" ht="14.25" customHeight="1">
      <c r="A701" s="7"/>
      <c r="B701" s="5"/>
      <c r="C701" s="8"/>
      <c r="D701" s="5"/>
      <c r="E701" s="14"/>
    </row>
    <row r="702" spans="1:5" ht="14.25" customHeight="1">
      <c r="A702" s="7"/>
      <c r="B702" s="5"/>
      <c r="C702" s="8"/>
      <c r="D702" s="5"/>
      <c r="E702" s="14"/>
    </row>
    <row r="703" spans="1:5" ht="14.25" customHeight="1">
      <c r="A703" s="7"/>
      <c r="B703" s="5"/>
      <c r="C703" s="8"/>
      <c r="D703" s="5"/>
      <c r="E703" s="14"/>
    </row>
    <row r="704" spans="1:5" ht="14.25" customHeight="1">
      <c r="A704" s="7"/>
      <c r="B704" s="5"/>
      <c r="C704" s="8"/>
      <c r="D704" s="5"/>
      <c r="E704" s="14"/>
    </row>
    <row r="705" spans="1:5" ht="14.25" customHeight="1">
      <c r="A705" s="7"/>
      <c r="B705" s="5"/>
      <c r="C705" s="8"/>
      <c r="D705" s="5"/>
      <c r="E705" s="14"/>
    </row>
    <row r="706" spans="1:5" ht="14.25" customHeight="1">
      <c r="A706" s="7"/>
      <c r="B706" s="5"/>
      <c r="C706" s="8"/>
      <c r="D706" s="5"/>
      <c r="E706" s="14"/>
    </row>
    <row r="707" spans="1:5" ht="14.25" customHeight="1">
      <c r="A707" s="7"/>
      <c r="B707" s="5"/>
      <c r="C707" s="8"/>
      <c r="D707" s="5"/>
      <c r="E707" s="14"/>
    </row>
    <row r="708" spans="1:5" ht="14.25" customHeight="1">
      <c r="A708" s="7"/>
      <c r="B708" s="5"/>
      <c r="C708" s="8"/>
      <c r="D708" s="5"/>
      <c r="E708" s="14"/>
    </row>
    <row r="709" spans="1:5" ht="14.25" customHeight="1">
      <c r="A709" s="7"/>
      <c r="B709" s="5"/>
      <c r="C709" s="8"/>
      <c r="D709" s="5"/>
      <c r="E709" s="14"/>
    </row>
    <row r="710" spans="1:5" ht="14.25" customHeight="1">
      <c r="A710" s="7"/>
      <c r="B710" s="5"/>
      <c r="C710" s="8"/>
      <c r="D710" s="5"/>
      <c r="E710" s="14"/>
    </row>
    <row r="711" spans="1:5" ht="14.25" customHeight="1">
      <c r="A711" s="7"/>
      <c r="B711" s="5"/>
      <c r="C711" s="8"/>
      <c r="D711" s="5"/>
      <c r="E711" s="14"/>
    </row>
    <row r="712" spans="1:5" ht="14.25" customHeight="1">
      <c r="A712" s="7"/>
      <c r="B712" s="5"/>
      <c r="C712" s="8"/>
      <c r="D712" s="5"/>
      <c r="E712" s="14"/>
    </row>
    <row r="713" spans="1:5" ht="14.25" customHeight="1">
      <c r="A713" s="7"/>
      <c r="B713" s="5"/>
      <c r="C713" s="8"/>
      <c r="D713" s="5"/>
      <c r="E713" s="14"/>
    </row>
    <row r="714" spans="1:5" ht="14.25" customHeight="1">
      <c r="A714" s="7"/>
      <c r="B714" s="5"/>
      <c r="C714" s="8"/>
      <c r="D714" s="5"/>
      <c r="E714" s="14"/>
    </row>
    <row r="715" spans="1:5" ht="14.25" customHeight="1">
      <c r="A715" s="7"/>
      <c r="B715" s="5"/>
      <c r="C715" s="8"/>
      <c r="D715" s="5"/>
      <c r="E715" s="14"/>
    </row>
    <row r="716" spans="1:5" ht="14.25" customHeight="1">
      <c r="A716" s="7"/>
      <c r="B716" s="5"/>
      <c r="C716" s="8"/>
      <c r="D716" s="5"/>
      <c r="E716" s="14"/>
    </row>
    <row r="717" spans="1:5" ht="14.25" customHeight="1">
      <c r="A717" s="7"/>
      <c r="B717" s="5"/>
      <c r="C717" s="8"/>
      <c r="D717" s="5"/>
      <c r="E717" s="14"/>
    </row>
    <row r="718" spans="1:5" ht="14.25" customHeight="1">
      <c r="A718" s="7"/>
      <c r="B718" s="5"/>
      <c r="C718" s="8"/>
      <c r="D718" s="5"/>
      <c r="E718" s="14"/>
    </row>
    <row r="719" spans="1:5" ht="14.25" customHeight="1">
      <c r="A719" s="7"/>
      <c r="B719" s="5"/>
      <c r="C719" s="8"/>
      <c r="D719" s="5"/>
      <c r="E719" s="14"/>
    </row>
    <row r="720" spans="1:5" ht="14.25" customHeight="1">
      <c r="A720" s="7"/>
      <c r="B720" s="5"/>
      <c r="C720" s="8"/>
      <c r="D720" s="5"/>
      <c r="E720" s="14"/>
    </row>
    <row r="721" spans="1:5" ht="14.25" customHeight="1">
      <c r="A721" s="7"/>
      <c r="B721" s="5"/>
      <c r="C721" s="8"/>
      <c r="D721" s="5"/>
      <c r="E721" s="14"/>
    </row>
    <row r="722" spans="1:5" ht="14.25" customHeight="1">
      <c r="A722" s="7"/>
      <c r="B722" s="5"/>
      <c r="C722" s="8"/>
      <c r="D722" s="5"/>
      <c r="E722" s="14"/>
    </row>
    <row r="723" spans="1:5" ht="14.25" customHeight="1">
      <c r="A723" s="7"/>
      <c r="B723" s="5"/>
      <c r="C723" s="8"/>
      <c r="D723" s="5"/>
      <c r="E723" s="14"/>
    </row>
    <row r="724" spans="1:5" ht="14.25" customHeight="1">
      <c r="A724" s="7"/>
      <c r="B724" s="5"/>
      <c r="C724" s="8"/>
      <c r="D724" s="5"/>
      <c r="E724" s="14"/>
    </row>
    <row r="725" spans="1:5" ht="14.25" customHeight="1">
      <c r="A725" s="7"/>
      <c r="B725" s="5"/>
      <c r="C725" s="8"/>
      <c r="D725" s="5"/>
      <c r="E725" s="14"/>
    </row>
    <row r="726" spans="1:5" ht="14.25" customHeight="1">
      <c r="A726" s="7"/>
      <c r="B726" s="5"/>
      <c r="C726" s="8"/>
      <c r="D726" s="5"/>
      <c r="E726" s="14"/>
    </row>
    <row r="727" spans="1:5" ht="14.25" customHeight="1">
      <c r="A727" s="7"/>
      <c r="B727" s="5"/>
      <c r="C727" s="8"/>
      <c r="D727" s="5"/>
      <c r="E727" s="14"/>
    </row>
    <row r="728" spans="1:5" ht="14.25" customHeight="1">
      <c r="A728" s="7"/>
      <c r="B728" s="5"/>
      <c r="C728" s="8"/>
      <c r="D728" s="5"/>
      <c r="E728" s="14"/>
    </row>
    <row r="729" spans="1:5" ht="14.25" customHeight="1">
      <c r="A729" s="7"/>
      <c r="B729" s="5"/>
      <c r="C729" s="8"/>
      <c r="D729" s="5"/>
      <c r="E729" s="14"/>
    </row>
    <row r="730" spans="1:5" ht="14.25" customHeight="1">
      <c r="A730" s="7"/>
      <c r="B730" s="5"/>
      <c r="C730" s="8"/>
      <c r="D730" s="5"/>
      <c r="E730" s="14"/>
    </row>
    <row r="731" spans="1:5" ht="14.25" customHeight="1">
      <c r="A731" s="7"/>
      <c r="B731" s="5"/>
      <c r="C731" s="8"/>
      <c r="D731" s="5"/>
      <c r="E731" s="14"/>
    </row>
    <row r="732" spans="1:5" ht="14.25" customHeight="1">
      <c r="A732" s="7"/>
      <c r="B732" s="5"/>
      <c r="C732" s="8"/>
      <c r="D732" s="5"/>
      <c r="E732" s="14"/>
    </row>
    <row r="733" spans="1:5" ht="14.25" customHeight="1">
      <c r="A733" s="7"/>
      <c r="B733" s="5"/>
      <c r="C733" s="8"/>
      <c r="D733" s="5"/>
      <c r="E733" s="14"/>
    </row>
    <row r="734" spans="1:5" ht="14.25" customHeight="1">
      <c r="A734" s="7"/>
      <c r="B734" s="5"/>
      <c r="C734" s="8"/>
      <c r="D734" s="5"/>
      <c r="E734" s="14"/>
    </row>
    <row r="735" spans="1:5" ht="14.25" customHeight="1">
      <c r="A735" s="7"/>
      <c r="B735" s="5"/>
      <c r="C735" s="8"/>
      <c r="D735" s="5"/>
      <c r="E735" s="14"/>
    </row>
    <row r="736" spans="1:5" ht="14.25" customHeight="1">
      <c r="A736" s="7"/>
      <c r="B736" s="5"/>
      <c r="C736" s="8"/>
      <c r="D736" s="5"/>
      <c r="E736" s="14"/>
    </row>
    <row r="737" spans="1:5" ht="14.25" customHeight="1">
      <c r="A737" s="7"/>
      <c r="B737" s="5"/>
      <c r="C737" s="8"/>
      <c r="D737" s="5"/>
      <c r="E737" s="14"/>
    </row>
    <row r="738" spans="1:5" ht="14.25" customHeight="1">
      <c r="A738" s="7"/>
      <c r="B738" s="5"/>
      <c r="C738" s="8"/>
      <c r="D738" s="5"/>
      <c r="E738" s="14"/>
    </row>
    <row r="739" spans="1:5" ht="14.25" customHeight="1">
      <c r="A739" s="7"/>
      <c r="B739" s="5"/>
      <c r="C739" s="8"/>
      <c r="D739" s="5"/>
      <c r="E739" s="14"/>
    </row>
    <row r="740" spans="1:5" ht="14.25" customHeight="1">
      <c r="A740" s="7"/>
      <c r="B740" s="5"/>
      <c r="C740" s="8"/>
      <c r="D740" s="5"/>
      <c r="E740" s="14"/>
    </row>
    <row r="741" spans="1:5" ht="14.25" customHeight="1">
      <c r="A741" s="7"/>
      <c r="B741" s="5"/>
      <c r="C741" s="8"/>
      <c r="D741" s="5"/>
      <c r="E741" s="14"/>
    </row>
    <row r="742" spans="1:5" ht="14.25" customHeight="1">
      <c r="A742" s="7"/>
      <c r="B742" s="5"/>
      <c r="C742" s="8"/>
      <c r="D742" s="5"/>
      <c r="E742" s="14"/>
    </row>
    <row r="743" spans="1:5" ht="14.25" customHeight="1">
      <c r="A743" s="7"/>
      <c r="B743" s="5"/>
      <c r="C743" s="8"/>
      <c r="D743" s="5"/>
      <c r="E743" s="14"/>
    </row>
    <row r="744" spans="1:5" ht="14.25" customHeight="1">
      <c r="A744" s="7"/>
      <c r="B744" s="5"/>
      <c r="C744" s="8"/>
      <c r="D744" s="5"/>
      <c r="E744" s="14"/>
    </row>
    <row r="745" spans="1:5" ht="14.25" customHeight="1">
      <c r="A745" s="7"/>
      <c r="B745" s="5"/>
      <c r="C745" s="8"/>
      <c r="D745" s="5"/>
      <c r="E745" s="14"/>
    </row>
    <row r="746" spans="1:5" ht="14.25" customHeight="1">
      <c r="A746" s="7"/>
      <c r="B746" s="5"/>
      <c r="C746" s="8"/>
      <c r="D746" s="5"/>
      <c r="E746" s="14"/>
    </row>
    <row r="747" spans="1:5" ht="14.25" customHeight="1">
      <c r="A747" s="7"/>
      <c r="B747" s="5"/>
      <c r="C747" s="8"/>
      <c r="D747" s="5"/>
      <c r="E747" s="14"/>
    </row>
    <row r="748" spans="1:5" ht="14.25" customHeight="1">
      <c r="A748" s="7"/>
      <c r="B748" s="5"/>
      <c r="C748" s="8"/>
      <c r="D748" s="5"/>
      <c r="E748" s="14"/>
    </row>
    <row r="749" spans="1:5" ht="14.25" customHeight="1">
      <c r="A749" s="7"/>
      <c r="B749" s="5"/>
      <c r="C749" s="8"/>
      <c r="D749" s="5"/>
      <c r="E749" s="14"/>
    </row>
    <row r="750" spans="1:5" ht="14.25" customHeight="1">
      <c r="A750" s="7"/>
      <c r="B750" s="5"/>
      <c r="C750" s="8"/>
      <c r="D750" s="5"/>
      <c r="E750" s="14"/>
    </row>
    <row r="751" spans="1:5" ht="14.25" customHeight="1">
      <c r="A751" s="7"/>
      <c r="B751" s="5"/>
      <c r="C751" s="8"/>
      <c r="D751" s="5"/>
      <c r="E751" s="14"/>
    </row>
    <row r="752" spans="1:5" ht="14.25" customHeight="1">
      <c r="A752" s="7"/>
      <c r="B752" s="5"/>
      <c r="C752" s="8"/>
      <c r="D752" s="5"/>
      <c r="E752" s="14"/>
    </row>
    <row r="753" spans="1:5" ht="14.25" customHeight="1">
      <c r="A753" s="7"/>
      <c r="B753" s="5"/>
      <c r="C753" s="8"/>
      <c r="D753" s="5"/>
      <c r="E753" s="14"/>
    </row>
    <row r="754" spans="1:5" ht="14.25" customHeight="1">
      <c r="A754" s="7"/>
      <c r="B754" s="5"/>
      <c r="C754" s="8"/>
      <c r="D754" s="5"/>
      <c r="E754" s="14"/>
    </row>
    <row r="755" spans="1:5" ht="14.25" customHeight="1">
      <c r="A755" s="7"/>
      <c r="B755" s="5"/>
      <c r="C755" s="8"/>
      <c r="D755" s="5"/>
      <c r="E755" s="14"/>
    </row>
    <row r="756" spans="1:5" ht="14.25" customHeight="1">
      <c r="A756" s="7"/>
      <c r="B756" s="5"/>
      <c r="C756" s="8"/>
      <c r="D756" s="5"/>
      <c r="E756" s="14"/>
    </row>
    <row r="757" spans="1:5" ht="14.25" customHeight="1">
      <c r="A757" s="7"/>
      <c r="B757" s="5"/>
      <c r="C757" s="8"/>
      <c r="D757" s="5"/>
      <c r="E757" s="14"/>
    </row>
    <row r="758" spans="1:5" ht="14.25" customHeight="1">
      <c r="A758" s="7"/>
      <c r="B758" s="5"/>
      <c r="C758" s="8"/>
      <c r="D758" s="5"/>
      <c r="E758" s="14"/>
    </row>
    <row r="759" spans="1:5" ht="14.25" customHeight="1">
      <c r="A759" s="7"/>
      <c r="B759" s="5"/>
      <c r="C759" s="8"/>
      <c r="D759" s="5"/>
      <c r="E759" s="14"/>
    </row>
    <row r="760" spans="1:5" ht="14.25" customHeight="1">
      <c r="A760" s="7"/>
      <c r="B760" s="5"/>
      <c r="C760" s="8"/>
      <c r="D760" s="5"/>
      <c r="E760" s="14"/>
    </row>
    <row r="761" spans="1:5" ht="14.25" customHeight="1">
      <c r="A761" s="7"/>
      <c r="B761" s="5"/>
      <c r="C761" s="8"/>
      <c r="D761" s="5"/>
      <c r="E761" s="14"/>
    </row>
    <row r="762" spans="1:5" ht="14.25" customHeight="1">
      <c r="A762" s="7"/>
      <c r="B762" s="5"/>
      <c r="C762" s="8"/>
      <c r="D762" s="5"/>
      <c r="E762" s="14"/>
    </row>
    <row r="763" spans="1:5" ht="14.25" customHeight="1">
      <c r="A763" s="7"/>
      <c r="B763" s="5"/>
      <c r="C763" s="8"/>
      <c r="D763" s="5"/>
      <c r="E763" s="14"/>
    </row>
    <row r="764" spans="1:5" ht="14.25" customHeight="1">
      <c r="A764" s="7"/>
      <c r="B764" s="5"/>
      <c r="C764" s="8"/>
      <c r="D764" s="5"/>
      <c r="E764" s="14"/>
    </row>
    <row r="765" spans="1:5" ht="14.25" customHeight="1">
      <c r="A765" s="7"/>
      <c r="B765" s="5"/>
      <c r="C765" s="8"/>
      <c r="D765" s="5"/>
      <c r="E765" s="14"/>
    </row>
    <row r="766" spans="1:5" ht="14.25" customHeight="1">
      <c r="A766" s="7"/>
      <c r="B766" s="5"/>
      <c r="C766" s="8"/>
      <c r="D766" s="5"/>
      <c r="E766" s="14"/>
    </row>
    <row r="767" spans="1:5" ht="14.25" customHeight="1">
      <c r="A767" s="7"/>
      <c r="B767" s="5"/>
      <c r="C767" s="8"/>
      <c r="D767" s="5"/>
      <c r="E767" s="14"/>
    </row>
    <row r="768" spans="1:5" ht="14.25" customHeight="1">
      <c r="A768" s="7"/>
      <c r="B768" s="5"/>
      <c r="C768" s="8"/>
      <c r="D768" s="5"/>
      <c r="E768" s="14"/>
    </row>
    <row r="769" spans="1:5" ht="14.25" customHeight="1">
      <c r="A769" s="7"/>
      <c r="B769" s="5"/>
      <c r="C769" s="8"/>
      <c r="D769" s="5"/>
      <c r="E769" s="14"/>
    </row>
    <row r="770" spans="1:5" ht="14.25" customHeight="1">
      <c r="A770" s="7"/>
      <c r="B770" s="5"/>
      <c r="C770" s="8"/>
      <c r="D770" s="5"/>
      <c r="E770" s="14"/>
    </row>
    <row r="771" spans="1:5" ht="14.25" customHeight="1">
      <c r="A771" s="7"/>
      <c r="B771" s="5"/>
      <c r="C771" s="8"/>
      <c r="D771" s="5"/>
      <c r="E771" s="14"/>
    </row>
    <row r="772" spans="1:5" ht="14.25" customHeight="1">
      <c r="A772" s="7"/>
      <c r="B772" s="5"/>
      <c r="C772" s="8"/>
      <c r="D772" s="5"/>
      <c r="E772" s="14"/>
    </row>
    <row r="773" spans="1:5" ht="14.25" customHeight="1">
      <c r="A773" s="7"/>
      <c r="B773" s="5"/>
      <c r="C773" s="8"/>
      <c r="D773" s="5"/>
      <c r="E773" s="14"/>
    </row>
    <row r="774" spans="1:5" ht="14.25" customHeight="1">
      <c r="A774" s="7"/>
      <c r="B774" s="5"/>
      <c r="C774" s="8"/>
      <c r="D774" s="5"/>
      <c r="E774" s="14"/>
    </row>
    <row r="775" spans="1:5" ht="14.25" customHeight="1">
      <c r="A775" s="7"/>
      <c r="B775" s="5"/>
      <c r="C775" s="8"/>
      <c r="D775" s="5"/>
      <c r="E775" s="14"/>
    </row>
    <row r="776" spans="1:5" ht="14.25" customHeight="1">
      <c r="A776" s="7"/>
      <c r="B776" s="5"/>
      <c r="C776" s="8"/>
      <c r="D776" s="5"/>
      <c r="E776" s="14"/>
    </row>
    <row r="777" spans="1:5" ht="14.25" customHeight="1">
      <c r="A777" s="7"/>
      <c r="B777" s="5"/>
      <c r="C777" s="8"/>
      <c r="D777" s="5"/>
      <c r="E777" s="14"/>
    </row>
    <row r="778" spans="1:5" ht="14.25" customHeight="1">
      <c r="A778" s="7"/>
      <c r="B778" s="5"/>
      <c r="C778" s="8"/>
      <c r="D778" s="5"/>
      <c r="E778" s="14"/>
    </row>
    <row r="779" spans="1:5" ht="14.25" customHeight="1">
      <c r="A779" s="7"/>
      <c r="B779" s="5"/>
      <c r="C779" s="8"/>
      <c r="D779" s="5"/>
      <c r="E779" s="14"/>
    </row>
    <row r="780" spans="1:5" ht="14.25" customHeight="1">
      <c r="A780" s="7"/>
      <c r="B780" s="5"/>
      <c r="C780" s="8"/>
      <c r="D780" s="5"/>
      <c r="E780" s="14"/>
    </row>
    <row r="781" spans="1:5" ht="14.25" customHeight="1">
      <c r="A781" s="7"/>
      <c r="B781" s="5"/>
      <c r="C781" s="8"/>
      <c r="D781" s="5"/>
      <c r="E781" s="14"/>
    </row>
    <row r="782" spans="1:5" ht="14.25" customHeight="1">
      <c r="A782" s="7"/>
      <c r="B782" s="5"/>
      <c r="C782" s="8"/>
      <c r="D782" s="5"/>
      <c r="E782" s="14"/>
    </row>
    <row r="783" spans="1:5" ht="14.25" customHeight="1">
      <c r="A783" s="7"/>
      <c r="B783" s="5"/>
      <c r="C783" s="8"/>
      <c r="D783" s="5"/>
      <c r="E783" s="14"/>
    </row>
    <row r="784" spans="1:5" ht="14.25" customHeight="1">
      <c r="A784" s="7"/>
      <c r="B784" s="5"/>
      <c r="C784" s="8"/>
      <c r="D784" s="5"/>
      <c r="E784" s="14"/>
    </row>
    <row r="785" spans="1:5" ht="14.25" customHeight="1">
      <c r="A785" s="7"/>
      <c r="B785" s="5"/>
      <c r="C785" s="8"/>
      <c r="D785" s="5"/>
      <c r="E785" s="14"/>
    </row>
    <row r="786" spans="1:5" ht="14.25" customHeight="1">
      <c r="A786" s="7"/>
      <c r="B786" s="5"/>
      <c r="C786" s="8"/>
      <c r="D786" s="5"/>
      <c r="E786" s="14"/>
    </row>
    <row r="787" spans="1:5" ht="14.25" customHeight="1">
      <c r="A787" s="7"/>
      <c r="B787" s="5"/>
      <c r="C787" s="8"/>
      <c r="D787" s="5"/>
      <c r="E787" s="14"/>
    </row>
    <row r="788" spans="1:5" ht="14.25" customHeight="1">
      <c r="A788" s="7"/>
      <c r="B788" s="5"/>
      <c r="C788" s="8"/>
      <c r="D788" s="5"/>
      <c r="E788" s="14"/>
    </row>
    <row r="789" spans="1:5" ht="14.25" customHeight="1">
      <c r="A789" s="7"/>
      <c r="B789" s="5"/>
      <c r="C789" s="8"/>
      <c r="D789" s="5"/>
      <c r="E789" s="14"/>
    </row>
    <row r="790" spans="1:5" ht="14.25" customHeight="1">
      <c r="A790" s="7"/>
      <c r="B790" s="5"/>
      <c r="C790" s="8"/>
      <c r="D790" s="5"/>
      <c r="E790" s="14"/>
    </row>
    <row r="791" spans="1:5" ht="14.25" customHeight="1">
      <c r="A791" s="7"/>
      <c r="B791" s="5"/>
      <c r="C791" s="8"/>
      <c r="D791" s="5"/>
      <c r="E791" s="14"/>
    </row>
    <row r="792" spans="1:5" ht="14.25" customHeight="1">
      <c r="A792" s="7"/>
      <c r="B792" s="5"/>
      <c r="C792" s="8"/>
      <c r="D792" s="5"/>
      <c r="E792" s="14"/>
    </row>
    <row r="793" spans="1:5" ht="14.25" customHeight="1">
      <c r="A793" s="7"/>
      <c r="B793" s="5"/>
      <c r="C793" s="8"/>
      <c r="D793" s="5"/>
      <c r="E793" s="14"/>
    </row>
    <row r="794" spans="1:5" ht="14.25" customHeight="1">
      <c r="A794" s="7"/>
      <c r="B794" s="5"/>
      <c r="C794" s="8"/>
      <c r="D794" s="5"/>
      <c r="E794" s="14"/>
    </row>
    <row r="795" spans="1:5" ht="14.25" customHeight="1">
      <c r="A795" s="7"/>
      <c r="B795" s="5"/>
      <c r="C795" s="8"/>
      <c r="D795" s="5"/>
      <c r="E795" s="14"/>
    </row>
    <row r="796" spans="1:5" ht="14.25" customHeight="1">
      <c r="A796" s="7"/>
      <c r="B796" s="5"/>
      <c r="C796" s="8"/>
      <c r="D796" s="5"/>
      <c r="E796" s="14"/>
    </row>
    <row r="797" spans="1:5" ht="14.25" customHeight="1">
      <c r="A797" s="7"/>
      <c r="B797" s="5"/>
      <c r="C797" s="8"/>
      <c r="D797" s="5"/>
      <c r="E797" s="14"/>
    </row>
    <row r="798" spans="1:5" ht="14.25" customHeight="1">
      <c r="A798" s="7"/>
      <c r="B798" s="5"/>
      <c r="C798" s="8"/>
      <c r="D798" s="5"/>
      <c r="E798" s="14"/>
    </row>
    <row r="799" spans="1:5" ht="14.25" customHeight="1">
      <c r="A799" s="7"/>
      <c r="B799" s="5"/>
      <c r="C799" s="8"/>
      <c r="D799" s="5"/>
      <c r="E799" s="14"/>
    </row>
    <row r="800" spans="1:5" ht="14.25" customHeight="1">
      <c r="A800" s="7"/>
      <c r="B800" s="5"/>
      <c r="C800" s="8"/>
      <c r="D800" s="5"/>
      <c r="E800" s="14"/>
    </row>
    <row r="801" spans="1:5" ht="14.25" customHeight="1">
      <c r="A801" s="7"/>
      <c r="B801" s="5"/>
      <c r="C801" s="8"/>
      <c r="D801" s="5"/>
      <c r="E801" s="14"/>
    </row>
    <row r="802" spans="1:5" ht="14.25" customHeight="1">
      <c r="A802" s="7"/>
      <c r="B802" s="5"/>
      <c r="C802" s="8"/>
      <c r="D802" s="5"/>
      <c r="E802" s="14"/>
    </row>
    <row r="803" spans="1:5" ht="14.25" customHeight="1">
      <c r="A803" s="7"/>
      <c r="B803" s="5"/>
      <c r="C803" s="8"/>
      <c r="D803" s="5"/>
      <c r="E803" s="14"/>
    </row>
    <row r="804" spans="1:5" ht="14.25" customHeight="1">
      <c r="A804" s="7"/>
      <c r="B804" s="5"/>
      <c r="C804" s="8"/>
      <c r="D804" s="5"/>
      <c r="E804" s="14"/>
    </row>
    <row r="805" spans="1:5" ht="14.25" customHeight="1">
      <c r="A805" s="7"/>
      <c r="B805" s="5"/>
      <c r="C805" s="8"/>
      <c r="D805" s="5"/>
      <c r="E805" s="14"/>
    </row>
    <row r="806" spans="1:5" ht="14.25" customHeight="1">
      <c r="A806" s="7"/>
      <c r="B806" s="5"/>
      <c r="C806" s="8"/>
      <c r="D806" s="5"/>
      <c r="E806" s="14"/>
    </row>
    <row r="807" spans="1:5" ht="14.25" customHeight="1">
      <c r="A807" s="7"/>
      <c r="B807" s="5"/>
      <c r="C807" s="8"/>
      <c r="D807" s="5"/>
      <c r="E807" s="14"/>
    </row>
    <row r="808" spans="1:5" ht="14.25" customHeight="1">
      <c r="A808" s="7"/>
      <c r="B808" s="5"/>
      <c r="C808" s="8"/>
      <c r="D808" s="5"/>
      <c r="E808" s="14"/>
    </row>
    <row r="809" spans="1:5" ht="14.25" customHeight="1">
      <c r="A809" s="7"/>
      <c r="B809" s="5"/>
      <c r="C809" s="8"/>
      <c r="D809" s="5"/>
      <c r="E809" s="14"/>
    </row>
    <row r="810" spans="1:5" ht="14.25" customHeight="1">
      <c r="A810" s="7"/>
      <c r="B810" s="5"/>
      <c r="C810" s="8"/>
      <c r="D810" s="5"/>
      <c r="E810" s="14"/>
    </row>
    <row r="811" spans="1:5" ht="14.25" customHeight="1">
      <c r="A811" s="7"/>
      <c r="B811" s="5"/>
      <c r="C811" s="8"/>
      <c r="D811" s="5"/>
      <c r="E811" s="14"/>
    </row>
    <row r="812" spans="1:5" ht="14.25" customHeight="1">
      <c r="A812" s="7"/>
      <c r="B812" s="5"/>
      <c r="C812" s="8"/>
      <c r="D812" s="5"/>
      <c r="E812" s="14"/>
    </row>
    <row r="813" spans="1:5" ht="14.25" customHeight="1">
      <c r="A813" s="7"/>
      <c r="B813" s="5"/>
      <c r="C813" s="8"/>
      <c r="D813" s="5"/>
      <c r="E813" s="14"/>
    </row>
    <row r="814" spans="1:5" ht="14.25" customHeight="1">
      <c r="A814" s="7"/>
      <c r="B814" s="5"/>
      <c r="C814" s="8"/>
      <c r="D814" s="5"/>
      <c r="E814" s="14"/>
    </row>
    <row r="815" spans="1:5" ht="14.25" customHeight="1">
      <c r="A815" s="7"/>
      <c r="B815" s="5"/>
      <c r="C815" s="8"/>
      <c r="D815" s="5"/>
      <c r="E815" s="14"/>
    </row>
    <row r="816" spans="1:5" ht="14.25" customHeight="1">
      <c r="A816" s="7"/>
      <c r="B816" s="5"/>
      <c r="C816" s="8"/>
      <c r="D816" s="5"/>
      <c r="E816" s="14"/>
    </row>
    <row r="817" spans="1:5" ht="14.25" customHeight="1">
      <c r="A817" s="7"/>
      <c r="B817" s="5"/>
      <c r="C817" s="8"/>
      <c r="D817" s="5"/>
      <c r="E817" s="14"/>
    </row>
    <row r="818" spans="1:5" ht="14.25" customHeight="1">
      <c r="A818" s="7"/>
      <c r="B818" s="5"/>
      <c r="C818" s="8"/>
      <c r="D818" s="5"/>
      <c r="E818" s="14"/>
    </row>
    <row r="819" spans="1:5" ht="14.25" customHeight="1">
      <c r="A819" s="7"/>
      <c r="B819" s="5"/>
      <c r="C819" s="8"/>
      <c r="D819" s="5"/>
      <c r="E819" s="14"/>
    </row>
    <row r="820" spans="1:5" ht="14.25" customHeight="1">
      <c r="A820" s="7"/>
      <c r="B820" s="5"/>
      <c r="C820" s="8"/>
      <c r="D820" s="5"/>
      <c r="E820" s="14"/>
    </row>
    <row r="821" spans="1:5" ht="14.25" customHeight="1">
      <c r="A821" s="7"/>
      <c r="B821" s="5"/>
      <c r="C821" s="8"/>
      <c r="D821" s="5"/>
      <c r="E821" s="14"/>
    </row>
    <row r="822" spans="1:5" ht="14.25" customHeight="1">
      <c r="A822" s="7"/>
      <c r="B822" s="5"/>
      <c r="C822" s="8"/>
      <c r="D822" s="5"/>
      <c r="E822" s="14"/>
    </row>
    <row r="823" spans="1:5" ht="14.25" customHeight="1">
      <c r="A823" s="7"/>
      <c r="B823" s="5"/>
      <c r="C823" s="8"/>
      <c r="D823" s="5"/>
      <c r="E823" s="14"/>
    </row>
    <row r="824" spans="1:5" ht="14.25" customHeight="1">
      <c r="A824" s="7"/>
      <c r="B824" s="5"/>
      <c r="C824" s="8"/>
      <c r="D824" s="5"/>
      <c r="E824" s="14"/>
    </row>
    <row r="825" spans="1:5" ht="14.25" customHeight="1">
      <c r="A825" s="7"/>
      <c r="B825" s="5"/>
      <c r="C825" s="8"/>
      <c r="D825" s="5"/>
      <c r="E825" s="14"/>
    </row>
    <row r="826" spans="1:5" ht="14.25" customHeight="1">
      <c r="A826" s="7"/>
      <c r="B826" s="5"/>
      <c r="C826" s="8"/>
      <c r="D826" s="5"/>
      <c r="E826" s="14"/>
    </row>
    <row r="827" spans="1:5" ht="14.25" customHeight="1">
      <c r="A827" s="7"/>
      <c r="B827" s="5"/>
      <c r="C827" s="8"/>
      <c r="D827" s="5"/>
      <c r="E827" s="14"/>
    </row>
    <row r="828" spans="1:5" ht="14.25" customHeight="1">
      <c r="A828" s="7"/>
      <c r="B828" s="5"/>
      <c r="C828" s="8"/>
      <c r="D828" s="5"/>
      <c r="E828" s="14"/>
    </row>
    <row r="829" spans="1:5" ht="14.25" customHeight="1">
      <c r="A829" s="7"/>
      <c r="B829" s="5"/>
      <c r="C829" s="8"/>
      <c r="D829" s="5"/>
      <c r="E829" s="14"/>
    </row>
    <row r="830" spans="1:5" ht="14.25" customHeight="1">
      <c r="A830" s="7"/>
      <c r="B830" s="5"/>
      <c r="C830" s="8"/>
      <c r="D830" s="5"/>
      <c r="E830" s="14"/>
    </row>
    <row r="831" spans="1:5" ht="14.25" customHeight="1">
      <c r="A831" s="7"/>
      <c r="B831" s="5"/>
      <c r="C831" s="8"/>
      <c r="D831" s="5"/>
      <c r="E831" s="14"/>
    </row>
    <row r="832" spans="1:5" ht="14.25" customHeight="1">
      <c r="A832" s="7"/>
      <c r="B832" s="5"/>
      <c r="C832" s="8"/>
      <c r="D832" s="5"/>
      <c r="E832" s="14"/>
    </row>
    <row r="833" spans="1:5" ht="14.25" customHeight="1">
      <c r="A833" s="7"/>
      <c r="B833" s="5"/>
      <c r="C833" s="8"/>
      <c r="D833" s="5"/>
      <c r="E833" s="14"/>
    </row>
    <row r="834" spans="1:5" ht="14.25" customHeight="1">
      <c r="A834" s="7"/>
      <c r="B834" s="5"/>
      <c r="C834" s="8"/>
      <c r="D834" s="5"/>
      <c r="E834" s="14"/>
    </row>
    <row r="835" spans="1:5" ht="14.25" customHeight="1">
      <c r="A835" s="7"/>
      <c r="B835" s="5"/>
      <c r="C835" s="8"/>
      <c r="D835" s="5"/>
      <c r="E835" s="14"/>
    </row>
    <row r="836" spans="1:5" ht="14.25" customHeight="1">
      <c r="A836" s="7"/>
      <c r="B836" s="5"/>
      <c r="C836" s="8"/>
      <c r="D836" s="5"/>
      <c r="E836" s="14"/>
    </row>
    <row r="837" spans="1:5" ht="14.25" customHeight="1">
      <c r="A837" s="7"/>
      <c r="B837" s="5"/>
      <c r="C837" s="8"/>
      <c r="D837" s="5"/>
      <c r="E837" s="14"/>
    </row>
    <row r="838" spans="1:5" ht="14.25" customHeight="1">
      <c r="A838" s="7"/>
      <c r="B838" s="5"/>
      <c r="C838" s="8"/>
      <c r="D838" s="5"/>
      <c r="E838" s="14"/>
    </row>
    <row r="839" spans="1:5" ht="14.25" customHeight="1">
      <c r="A839" s="7"/>
      <c r="B839" s="5"/>
      <c r="C839" s="8"/>
      <c r="D839" s="5"/>
      <c r="E839" s="14"/>
    </row>
    <row r="840" spans="1:5" ht="14.25" customHeight="1">
      <c r="A840" s="7"/>
      <c r="B840" s="5"/>
      <c r="C840" s="8"/>
      <c r="D840" s="5"/>
      <c r="E840" s="14"/>
    </row>
    <row r="841" spans="1:5" ht="14.25" customHeight="1">
      <c r="A841" s="7"/>
      <c r="B841" s="5"/>
      <c r="C841" s="8"/>
      <c r="D841" s="5"/>
      <c r="E841" s="14"/>
    </row>
    <row r="842" spans="1:5" ht="14.25" customHeight="1">
      <c r="A842" s="7"/>
      <c r="B842" s="5"/>
      <c r="C842" s="8"/>
      <c r="D842" s="5"/>
      <c r="E842" s="14"/>
    </row>
    <row r="843" spans="1:5" ht="14.25" customHeight="1">
      <c r="A843" s="7"/>
      <c r="B843" s="5"/>
      <c r="C843" s="8"/>
      <c r="D843" s="5"/>
      <c r="E843" s="14"/>
    </row>
    <row r="844" spans="1:5" ht="14.25" customHeight="1">
      <c r="A844" s="7"/>
      <c r="B844" s="5"/>
      <c r="C844" s="8"/>
      <c r="D844" s="5"/>
      <c r="E844" s="14"/>
    </row>
    <row r="845" spans="1:5" ht="14.25" customHeight="1">
      <c r="A845" s="7"/>
      <c r="B845" s="5"/>
      <c r="C845" s="8"/>
      <c r="D845" s="5"/>
      <c r="E845" s="14"/>
    </row>
    <row r="846" spans="1:5" ht="14.25" customHeight="1">
      <c r="A846" s="7"/>
      <c r="B846" s="5"/>
      <c r="C846" s="8"/>
      <c r="D846" s="5"/>
      <c r="E846" s="14"/>
    </row>
    <row r="847" spans="1:5" ht="14.25" customHeight="1">
      <c r="A847" s="7"/>
      <c r="B847" s="5"/>
      <c r="C847" s="8"/>
      <c r="D847" s="5"/>
      <c r="E847" s="14"/>
    </row>
    <row r="848" spans="1:5" ht="14.25" customHeight="1">
      <c r="A848" s="7"/>
      <c r="B848" s="5"/>
      <c r="C848" s="8"/>
      <c r="D848" s="5"/>
      <c r="E848" s="14"/>
    </row>
    <row r="849" spans="1:5" ht="14.25" customHeight="1">
      <c r="A849" s="7"/>
      <c r="B849" s="5"/>
      <c r="C849" s="8"/>
      <c r="D849" s="5"/>
      <c r="E849" s="14"/>
    </row>
    <row r="850" spans="1:5" ht="14.25" customHeight="1">
      <c r="A850" s="7"/>
      <c r="B850" s="5"/>
      <c r="C850" s="8"/>
      <c r="D850" s="5"/>
      <c r="E850" s="14"/>
    </row>
    <row r="851" spans="1:5" ht="14.25" customHeight="1">
      <c r="A851" s="7"/>
      <c r="B851" s="5"/>
      <c r="C851" s="8"/>
      <c r="D851" s="5"/>
      <c r="E851" s="14"/>
    </row>
    <row r="852" spans="1:5" ht="14.25" customHeight="1">
      <c r="A852" s="7"/>
      <c r="B852" s="5"/>
      <c r="C852" s="8"/>
      <c r="D852" s="5"/>
      <c r="E852" s="14"/>
    </row>
    <row r="853" spans="1:5" ht="14.25" customHeight="1">
      <c r="A853" s="7"/>
      <c r="B853" s="5"/>
      <c r="C853" s="8"/>
      <c r="D853" s="5"/>
      <c r="E853" s="14"/>
    </row>
    <row r="854" spans="1:5" ht="14.25" customHeight="1">
      <c r="A854" s="7"/>
      <c r="B854" s="5"/>
      <c r="C854" s="8"/>
      <c r="D854" s="5"/>
      <c r="E854" s="14"/>
    </row>
    <row r="855" spans="1:5" ht="14.25" customHeight="1">
      <c r="A855" s="7"/>
      <c r="B855" s="5"/>
      <c r="C855" s="8"/>
      <c r="D855" s="5"/>
      <c r="E855" s="14"/>
    </row>
    <row r="856" spans="1:5" ht="14.25" customHeight="1">
      <c r="A856" s="7"/>
      <c r="B856" s="5"/>
      <c r="C856" s="8"/>
      <c r="D856" s="5"/>
      <c r="E856" s="14"/>
    </row>
    <row r="857" spans="1:5" ht="14.25" customHeight="1">
      <c r="A857" s="7"/>
      <c r="B857" s="5"/>
      <c r="C857" s="8"/>
      <c r="D857" s="5"/>
      <c r="E857" s="14"/>
    </row>
    <row r="858" spans="1:5" ht="14.25" customHeight="1">
      <c r="A858" s="7"/>
      <c r="B858" s="5"/>
      <c r="C858" s="8"/>
      <c r="D858" s="5"/>
      <c r="E858" s="14"/>
    </row>
    <row r="859" spans="1:5" ht="14.25" customHeight="1">
      <c r="A859" s="7"/>
      <c r="B859" s="5"/>
      <c r="C859" s="8"/>
      <c r="D859" s="5"/>
      <c r="E859" s="14"/>
    </row>
    <row r="860" spans="1:5" ht="14.25" customHeight="1">
      <c r="A860" s="7"/>
      <c r="B860" s="5"/>
      <c r="C860" s="8"/>
      <c r="D860" s="5"/>
      <c r="E860" s="14"/>
    </row>
    <row r="861" spans="1:5" ht="14.25" customHeight="1">
      <c r="A861" s="7"/>
      <c r="B861" s="5"/>
      <c r="C861" s="8"/>
      <c r="D861" s="5"/>
      <c r="E861" s="14"/>
    </row>
    <row r="862" spans="1:5" ht="14.25" customHeight="1">
      <c r="A862" s="7"/>
      <c r="B862" s="5"/>
      <c r="C862" s="8"/>
      <c r="D862" s="5"/>
      <c r="E862" s="14"/>
    </row>
    <row r="863" spans="1:5" ht="14.25" customHeight="1">
      <c r="A863" s="7"/>
      <c r="B863" s="5"/>
      <c r="C863" s="8"/>
      <c r="D863" s="5"/>
      <c r="E863" s="14"/>
    </row>
    <row r="864" spans="1:5" ht="14.25" customHeight="1">
      <c r="A864" s="7"/>
      <c r="B864" s="5"/>
      <c r="C864" s="8"/>
      <c r="D864" s="5"/>
      <c r="E864" s="14"/>
    </row>
    <row r="865" spans="1:5" ht="14.25" customHeight="1">
      <c r="A865" s="7"/>
      <c r="B865" s="5"/>
      <c r="C865" s="8"/>
      <c r="D865" s="5"/>
      <c r="E865" s="14"/>
    </row>
    <row r="866" spans="1:5" ht="14.25" customHeight="1">
      <c r="A866" s="7"/>
      <c r="B866" s="5"/>
      <c r="C866" s="8"/>
      <c r="D866" s="5"/>
      <c r="E866" s="14"/>
    </row>
    <row r="867" spans="1:5" ht="14.25" customHeight="1">
      <c r="A867" s="7"/>
      <c r="B867" s="5"/>
      <c r="C867" s="8"/>
      <c r="D867" s="5"/>
      <c r="E867" s="14"/>
    </row>
    <row r="868" spans="1:5" ht="14.25" customHeight="1">
      <c r="A868" s="7"/>
      <c r="B868" s="5"/>
      <c r="C868" s="8"/>
      <c r="D868" s="5"/>
      <c r="E868" s="14"/>
    </row>
    <row r="869" spans="1:5" ht="14.25" customHeight="1">
      <c r="A869" s="7"/>
      <c r="B869" s="5"/>
      <c r="C869" s="8"/>
      <c r="D869" s="5"/>
      <c r="E869" s="14"/>
    </row>
    <row r="870" spans="1:5" ht="14.25" customHeight="1">
      <c r="A870" s="7"/>
      <c r="B870" s="5"/>
      <c r="C870" s="8"/>
      <c r="D870" s="5"/>
      <c r="E870" s="14"/>
    </row>
    <row r="871" spans="1:5" ht="14.25" customHeight="1">
      <c r="A871" s="7"/>
      <c r="B871" s="5"/>
      <c r="C871" s="8"/>
      <c r="D871" s="5"/>
      <c r="E871" s="14"/>
    </row>
    <row r="872" spans="1:5" ht="14.25" customHeight="1">
      <c r="A872" s="7"/>
      <c r="B872" s="5"/>
      <c r="C872" s="8"/>
      <c r="D872" s="5"/>
      <c r="E872" s="14"/>
    </row>
    <row r="873" spans="1:5" ht="14.25" customHeight="1">
      <c r="A873" s="7"/>
      <c r="B873" s="5"/>
      <c r="C873" s="8"/>
      <c r="D873" s="5"/>
      <c r="E873" s="14"/>
    </row>
    <row r="874" spans="1:5" ht="14.25" customHeight="1">
      <c r="A874" s="7"/>
      <c r="B874" s="5"/>
      <c r="C874" s="8"/>
      <c r="D874" s="5"/>
      <c r="E874" s="14"/>
    </row>
    <row r="875" spans="1:5" ht="14.25" customHeight="1">
      <c r="A875" s="7"/>
      <c r="B875" s="5"/>
      <c r="C875" s="8"/>
      <c r="D875" s="5"/>
      <c r="E875" s="14"/>
    </row>
    <row r="876" spans="1:5" ht="14.25" customHeight="1">
      <c r="A876" s="7"/>
      <c r="B876" s="5"/>
      <c r="C876" s="8"/>
      <c r="D876" s="5"/>
      <c r="E876" s="14"/>
    </row>
    <row r="877" spans="1:5" ht="14.25" customHeight="1">
      <c r="A877" s="7"/>
      <c r="B877" s="5"/>
      <c r="C877" s="8"/>
      <c r="D877" s="5"/>
      <c r="E877" s="14"/>
    </row>
    <row r="878" spans="1:5" ht="14.25" customHeight="1">
      <c r="A878" s="7"/>
      <c r="B878" s="5"/>
      <c r="C878" s="8"/>
      <c r="D878" s="5"/>
      <c r="E878" s="14"/>
    </row>
    <row r="879" spans="1:5" ht="14.25" customHeight="1">
      <c r="A879" s="7"/>
      <c r="B879" s="5"/>
      <c r="C879" s="8"/>
      <c r="D879" s="5"/>
      <c r="E879" s="14"/>
    </row>
    <row r="880" spans="1:5" ht="14.25" customHeight="1">
      <c r="A880" s="7"/>
      <c r="B880" s="5"/>
      <c r="C880" s="8"/>
      <c r="D880" s="5"/>
      <c r="E880" s="14"/>
    </row>
    <row r="881" spans="1:5" ht="14.25" customHeight="1">
      <c r="A881" s="7"/>
      <c r="B881" s="5"/>
      <c r="C881" s="8"/>
      <c r="D881" s="5"/>
      <c r="E881" s="14"/>
    </row>
    <row r="882" spans="1:5" ht="14.25" customHeight="1">
      <c r="A882" s="7"/>
      <c r="B882" s="5"/>
      <c r="C882" s="8"/>
      <c r="D882" s="5"/>
      <c r="E882" s="14"/>
    </row>
    <row r="883" spans="1:5" ht="14.25" customHeight="1">
      <c r="A883" s="7"/>
      <c r="B883" s="5"/>
      <c r="C883" s="8"/>
      <c r="D883" s="5"/>
      <c r="E883" s="14"/>
    </row>
    <row r="884" spans="1:5" ht="14.25" customHeight="1">
      <c r="A884" s="7"/>
      <c r="B884" s="5"/>
      <c r="C884" s="8"/>
      <c r="D884" s="5"/>
      <c r="E884" s="14"/>
    </row>
    <row r="885" spans="1:5" ht="14.25" customHeight="1">
      <c r="A885" s="7"/>
      <c r="B885" s="5"/>
      <c r="C885" s="8"/>
      <c r="D885" s="5"/>
      <c r="E885" s="14"/>
    </row>
    <row r="886" spans="1:5" ht="14.25" customHeight="1">
      <c r="A886" s="7"/>
      <c r="B886" s="5"/>
      <c r="C886" s="8"/>
      <c r="D886" s="5"/>
      <c r="E886" s="14"/>
    </row>
    <row r="887" spans="1:5" ht="14.25" customHeight="1">
      <c r="A887" s="7"/>
      <c r="B887" s="5"/>
      <c r="C887" s="8"/>
      <c r="D887" s="5"/>
      <c r="E887" s="14"/>
    </row>
    <row r="888" spans="1:5" ht="14.25" customHeight="1">
      <c r="A888" s="7"/>
      <c r="B888" s="5"/>
      <c r="C888" s="8"/>
      <c r="D888" s="5"/>
      <c r="E888" s="14"/>
    </row>
    <row r="889" spans="1:5" ht="14.25" customHeight="1">
      <c r="A889" s="7"/>
      <c r="B889" s="5"/>
      <c r="C889" s="8"/>
      <c r="D889" s="5"/>
      <c r="E889" s="14"/>
    </row>
    <row r="890" spans="1:5" ht="14.25" customHeight="1">
      <c r="A890" s="7"/>
      <c r="B890" s="5"/>
      <c r="C890" s="8"/>
      <c r="D890" s="5"/>
      <c r="E890" s="14"/>
    </row>
    <row r="891" spans="1:5" ht="14.25" customHeight="1">
      <c r="A891" s="7"/>
      <c r="B891" s="5"/>
      <c r="C891" s="8"/>
      <c r="D891" s="5"/>
      <c r="E891" s="14"/>
    </row>
    <row r="892" spans="1:5" ht="14.25" customHeight="1">
      <c r="A892" s="7"/>
      <c r="B892" s="5"/>
      <c r="C892" s="8"/>
      <c r="D892" s="5"/>
      <c r="E892" s="14"/>
    </row>
    <row r="893" spans="1:5" ht="14.25" customHeight="1">
      <c r="A893" s="7"/>
      <c r="B893" s="5"/>
      <c r="C893" s="8"/>
      <c r="D893" s="5"/>
      <c r="E893" s="14"/>
    </row>
    <row r="894" spans="1:5" ht="14.25" customHeight="1">
      <c r="A894" s="7"/>
      <c r="B894" s="5"/>
      <c r="C894" s="8"/>
      <c r="D894" s="5"/>
      <c r="E894" s="14"/>
    </row>
    <row r="895" spans="1:5" ht="14.25" customHeight="1">
      <c r="A895" s="7"/>
      <c r="B895" s="5"/>
      <c r="C895" s="8"/>
      <c r="D895" s="5"/>
      <c r="E895" s="14"/>
    </row>
    <row r="896" spans="1:5" ht="14.25" customHeight="1">
      <c r="A896" s="7"/>
      <c r="B896" s="5"/>
      <c r="C896" s="8"/>
      <c r="D896" s="5"/>
      <c r="E896" s="14"/>
    </row>
    <row r="897" spans="1:5" ht="14.25" customHeight="1">
      <c r="A897" s="7"/>
      <c r="B897" s="5"/>
      <c r="C897" s="8"/>
      <c r="D897" s="5"/>
      <c r="E897" s="14"/>
    </row>
    <row r="898" spans="1:5" ht="14.25" customHeight="1">
      <c r="E898" s="14"/>
    </row>
    <row r="899" spans="1:5" ht="14.25" customHeight="1"/>
  </sheetData>
  <pageMargins left="0.7" right="0.7" top="0.75" bottom="0.75" header="0" footer="0"/>
  <pageSetup paperSize="9"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DBF107-DA10-4D25-89FE-6319131ECC70}">
  <dimension ref="A1:G18"/>
  <sheetViews>
    <sheetView zoomScale="132" workbookViewId="0">
      <selection activeCell="G15" activeCellId="2" sqref="G3 G9 G15"/>
    </sheetView>
  </sheetViews>
  <sheetFormatPr defaultRowHeight="13.8"/>
  <cols>
    <col min="2" max="2" width="14.5" customWidth="1"/>
    <col min="5" max="5" width="11.59765625" customWidth="1"/>
    <col min="6" max="6" width="19.5" bestFit="1" customWidth="1"/>
  </cols>
  <sheetData>
    <row r="1" spans="1:7" ht="15" customHeight="1"/>
    <row r="2" spans="1:7">
      <c r="A2">
        <v>1</v>
      </c>
      <c r="B2" t="s">
        <v>628</v>
      </c>
      <c r="C2" s="172">
        <f>'INDUK PT ABJ '!H54</f>
        <v>0.90322580645161288</v>
      </c>
      <c r="E2" s="173" t="s">
        <v>628</v>
      </c>
      <c r="F2" t="s">
        <v>14</v>
      </c>
      <c r="G2">
        <v>15</v>
      </c>
    </row>
    <row r="3" spans="1:7">
      <c r="A3">
        <v>2</v>
      </c>
      <c r="B3" t="s">
        <v>629</v>
      </c>
      <c r="C3" s="172">
        <f>'Greenfield PT ABJ'!I111</f>
        <v>0.91459882583170271</v>
      </c>
      <c r="E3" s="173"/>
      <c r="F3" t="s">
        <v>79</v>
      </c>
      <c r="G3">
        <v>6</v>
      </c>
    </row>
    <row r="4" spans="1:7">
      <c r="A4">
        <v>3</v>
      </c>
      <c r="B4" t="s">
        <v>630</v>
      </c>
      <c r="C4" s="172">
        <f>'Brownfield PT ABJ'!H84</f>
        <v>0.96875</v>
      </c>
      <c r="E4" s="173"/>
      <c r="F4" t="s">
        <v>11</v>
      </c>
      <c r="G4">
        <v>0</v>
      </c>
    </row>
    <row r="5" spans="1:7">
      <c r="B5" s="169" t="s">
        <v>631</v>
      </c>
      <c r="C5" s="171">
        <f>AVERAGE(C2:C4)</f>
        <v>0.92885821076110509</v>
      </c>
      <c r="E5" s="173"/>
      <c r="F5" t="s">
        <v>529</v>
      </c>
      <c r="G5">
        <v>16</v>
      </c>
    </row>
    <row r="6" spans="1:7">
      <c r="E6" s="173"/>
      <c r="F6" t="s">
        <v>527</v>
      </c>
      <c r="G6" s="168">
        <v>0.90909090909090906</v>
      </c>
    </row>
    <row r="8" spans="1:7">
      <c r="E8" s="173" t="s">
        <v>629</v>
      </c>
      <c r="F8" t="s">
        <v>14</v>
      </c>
      <c r="G8">
        <v>59</v>
      </c>
    </row>
    <row r="9" spans="1:7">
      <c r="E9" s="173"/>
      <c r="F9" t="s">
        <v>79</v>
      </c>
      <c r="G9">
        <v>17</v>
      </c>
    </row>
    <row r="10" spans="1:7">
      <c r="E10" s="173"/>
      <c r="F10" t="s">
        <v>11</v>
      </c>
      <c r="G10">
        <v>0</v>
      </c>
    </row>
    <row r="11" spans="1:7">
      <c r="E11" s="173"/>
      <c r="F11" t="s">
        <v>529</v>
      </c>
      <c r="G11">
        <v>20</v>
      </c>
    </row>
    <row r="12" spans="1:7">
      <c r="E12" s="173"/>
      <c r="F12" t="s">
        <v>527</v>
      </c>
      <c r="G12" s="168">
        <v>0.91459882583170271</v>
      </c>
    </row>
    <row r="14" spans="1:7">
      <c r="E14" s="173" t="s">
        <v>630</v>
      </c>
      <c r="F14" t="s">
        <v>14</v>
      </c>
      <c r="G14">
        <v>52</v>
      </c>
    </row>
    <row r="15" spans="1:7">
      <c r="E15" s="173"/>
      <c r="F15" t="s">
        <v>79</v>
      </c>
      <c r="G15">
        <v>13</v>
      </c>
    </row>
    <row r="16" spans="1:7">
      <c r="E16" s="173"/>
      <c r="F16" t="s">
        <v>11</v>
      </c>
      <c r="G16">
        <v>0</v>
      </c>
    </row>
    <row r="17" spans="5:7">
      <c r="E17" s="173"/>
      <c r="F17" t="s">
        <v>529</v>
      </c>
      <c r="G17">
        <v>11</v>
      </c>
    </row>
    <row r="18" spans="5:7">
      <c r="E18" s="173"/>
      <c r="F18" t="s">
        <v>527</v>
      </c>
      <c r="G18" s="168">
        <v>0.96875</v>
      </c>
    </row>
  </sheetData>
  <mergeCells count="3">
    <mergeCell ref="E2:E6"/>
    <mergeCell ref="E8:E12"/>
    <mergeCell ref="E14:E18"/>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454a389b-0a00-4297-a627-92d23b410963" xsi:nil="true"/>
    <lcf76f155ced4ddcb4097134ff3c332f xmlns="c9184296-3ba9-4f09-b38d-567ebb9325c3">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61A8CEFD68EC7244A1D67549CD43B9CA" ma:contentTypeVersion="13" ma:contentTypeDescription="Create a new document." ma:contentTypeScope="" ma:versionID="cf487a4d0742a1b2883aa3c093b878ef">
  <xsd:schema xmlns:xsd="http://www.w3.org/2001/XMLSchema" xmlns:xs="http://www.w3.org/2001/XMLSchema" xmlns:p="http://schemas.microsoft.com/office/2006/metadata/properties" xmlns:ns2="c9184296-3ba9-4f09-b38d-567ebb9325c3" xmlns:ns3="454a389b-0a00-4297-a627-92d23b410963" targetNamespace="http://schemas.microsoft.com/office/2006/metadata/properties" ma:root="true" ma:fieldsID="22f784c9b0715a6a5d874a10f860e5a6" ns2:_="" ns3:_="">
    <xsd:import namespace="c9184296-3ba9-4f09-b38d-567ebb9325c3"/>
    <xsd:import namespace="454a389b-0a00-4297-a627-92d23b41096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ServiceBillingMetadata"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9184296-3ba9-4f09-b38d-567ebb9325c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7daf9b6e-7de9-4d5b-b9c5-331fb98bf327"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BillingMetadata" ma:index="19" nillable="true" ma:displayName="MediaServiceBillingMetadata" ma:hidden="true" ma:internalName="MediaServiceBillingMetadata" ma:readOnly="true">
      <xsd:simpleType>
        <xsd:restriction base="dms:Note"/>
      </xsd:simpleType>
    </xsd:element>
    <xsd:element name="MediaLengthInSeconds" ma:index="20"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454a389b-0a00-4297-a627-92d23b410963"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2df7a66d-7414-4231-bdf2-62d4c81e2b49}" ma:internalName="TaxCatchAll" ma:showField="CatchAllData" ma:web="454a389b-0a00-4297-a627-92d23b41096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2B5E114-87E7-45CC-919F-103B6F3B69A1}">
  <ds:schemaRefs>
    <ds:schemaRef ds:uri="http://schemas.microsoft.com/sharepoint/v3/contenttype/forms"/>
  </ds:schemaRefs>
</ds:datastoreItem>
</file>

<file path=customXml/itemProps2.xml><?xml version="1.0" encoding="utf-8"?>
<ds:datastoreItem xmlns:ds="http://schemas.openxmlformats.org/officeDocument/2006/customXml" ds:itemID="{62F17CE8-D9A8-4E02-AE93-44E9E901BCFA}">
  <ds:schemaRefs>
    <ds:schemaRef ds:uri="http://schemas.microsoft.com/office/2006/metadata/properties"/>
    <ds:schemaRef ds:uri="http://schemas.microsoft.com/office/infopath/2007/PartnerControls"/>
    <ds:schemaRef ds:uri="454a389b-0a00-4297-a627-92d23b410963"/>
    <ds:schemaRef ds:uri="c9184296-3ba9-4f09-b38d-567ebb9325c3"/>
  </ds:schemaRefs>
</ds:datastoreItem>
</file>

<file path=customXml/itemProps3.xml><?xml version="1.0" encoding="utf-8"?>
<ds:datastoreItem xmlns:ds="http://schemas.openxmlformats.org/officeDocument/2006/customXml" ds:itemID="{2AB5C371-AFA7-4250-B00F-EB9965DAC79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9184296-3ba9-4f09-b38d-567ebb9325c3"/>
    <ds:schemaRef ds:uri="454a389b-0a00-4297-a627-92d23b41096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INDUK PT ABJ </vt:lpstr>
      <vt:lpstr>Greenfield PT ABJ</vt:lpstr>
      <vt:lpstr>Brownfield PT ABJ</vt:lpstr>
      <vt:lpstr>Summary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Tazkia Trirastati</dc:creator>
  <cp:keywords/>
  <dc:description/>
  <cp:lastModifiedBy>Tazkia</cp:lastModifiedBy>
  <cp:revision/>
  <dcterms:created xsi:type="dcterms:W3CDTF">2025-11-12T09:33:04Z</dcterms:created>
  <dcterms:modified xsi:type="dcterms:W3CDTF">2026-07-20T04:34:04Z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0x01010061A8CEFD68EC7244A1D67549CD43B9CA</vt:lpwstr>
  </property>
  <property fmtid="{D5CDD505-2E9C-101B-9397-08002B2CF9AE}" pid="3" name="MediaServiceImageTags">
    <vt:lpwstr/>
  </property>
</Properties>
</file>